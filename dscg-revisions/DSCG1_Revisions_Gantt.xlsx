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Mon rythme" sheetId="2" state="visible" r:id="rId2"/>
    <sheet name="Paramètres" sheetId="3" state="visible" r:id="rId3"/>
    <sheet name="Planning Gantt" sheetId="4" state="visible" r:id="rId4"/>
    <sheet name="Tableau de bord" sheetId="5" state="visible" r:id="rId5"/>
    <sheet name="Bibliothèque UE" sheetId="6" state="visible" r:id="rId6"/>
  </sheets>
  <definedNames>
    <definedName name="_xlnm.Print_Titles" localSheetId="3">'Planning Gantt'!$4:$4</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5">
    <font>
      <name val="Calibri"/>
      <family val="2"/>
      <color theme="1"/>
      <sz val="11"/>
      <scheme val="minor"/>
    </font>
    <font>
      <name val="Calibri"/>
      <b val="1"/>
      <color rgb="001B3A4B"/>
      <sz val="20"/>
    </font>
    <font>
      <name val="Calibri"/>
      <i val="1"/>
      <color rgb="002E6B7A"/>
      <sz val="12"/>
    </font>
    <font>
      <name val="Calibri"/>
      <b val="1"/>
      <color rgb="00C45C26"/>
      <sz val="13"/>
    </font>
    <font>
      <name val="Calibri"/>
      <sz val="11"/>
    </font>
    <font>
      <name val="Calibri"/>
      <b val="1"/>
      <color rgb="001B3A4B"/>
      <sz val="13"/>
    </font>
    <font>
      <name val="Calibri"/>
      <i val="1"/>
      <sz val="11"/>
    </font>
    <font>
      <name val="Calibri"/>
      <b val="1"/>
      <color rgb="001B3A4B"/>
      <sz val="18"/>
    </font>
    <font>
      <name val="Calibri"/>
      <i val="1"/>
      <color rgb="002E6B7A"/>
      <sz val="10"/>
    </font>
    <font>
      <name val="Calibri"/>
      <b val="1"/>
      <color rgb="002E6B7A"/>
      <sz val="13"/>
    </font>
    <font>
      <name val="Calibri"/>
      <b val="1"/>
      <color rgb="00FFFFFF"/>
      <sz val="11"/>
    </font>
    <font>
      <name val="Calibri"/>
      <sz val="10"/>
    </font>
    <font>
      <name val="Calibri"/>
      <b val="1"/>
      <color rgb="00C45C26"/>
    </font>
    <font>
      <name val="Calibri"/>
      <b val="1"/>
      <sz val="11"/>
    </font>
    <font>
      <name val="Calibri"/>
      <b val="1"/>
      <color rgb="00C45C26"/>
      <sz val="11"/>
    </font>
    <font>
      <name val="Calibri"/>
      <i val="1"/>
      <color rgb="006C757D"/>
      <sz val="10"/>
    </font>
    <font>
      <name val="Calibri"/>
      <i val="1"/>
      <color rgb="00C1121F"/>
      <sz val="10"/>
    </font>
    <font>
      <name val="Calibri"/>
      <b val="1"/>
      <color rgb="00FFFFFF"/>
      <sz val="8"/>
    </font>
    <font>
      <color rgb="00FFFFFF"/>
      <sz val="1"/>
    </font>
    <font>
      <name val="Calibri"/>
      <b val="1"/>
      <color rgb="001B3A4B"/>
      <sz val="11"/>
    </font>
    <font>
      <name val="Calibri"/>
      <b val="1"/>
      <color rgb="00FFFFFF"/>
      <sz val="9"/>
    </font>
    <font>
      <name val="Calibri"/>
      <i val="1"/>
      <color rgb="002E6B7A"/>
      <sz val="9"/>
    </font>
    <font>
      <name val="Calibri"/>
      <i val="1"/>
      <color rgb="002E6B7A"/>
      <sz val="11"/>
    </font>
    <font>
      <name val="Calibri"/>
      <b val="1"/>
      <color rgb="00C45C26"/>
      <sz val="14"/>
    </font>
    <font>
      <name val="Calibri"/>
      <b val="1"/>
      <sz val="10"/>
    </font>
  </fonts>
  <fills count="15">
    <fill>
      <patternFill/>
    </fill>
    <fill>
      <patternFill patternType="gray125"/>
    </fill>
    <fill>
      <patternFill patternType="solid">
        <fgColor rgb="001B3A4B"/>
      </patternFill>
    </fill>
    <fill>
      <patternFill patternType="solid">
        <fgColor rgb="00D5F5E3"/>
      </patternFill>
    </fill>
    <fill>
      <patternFill patternType="solid">
        <fgColor rgb="00FDEBD0"/>
      </patternFill>
    </fill>
    <fill>
      <patternFill patternType="solid">
        <fgColor rgb="00A8DADC"/>
      </patternFill>
    </fill>
    <fill>
      <patternFill patternType="solid">
        <fgColor rgb="00FFF8F0"/>
      </patternFill>
    </fill>
    <fill>
      <patternFill patternType="solid">
        <fgColor rgb="00D4E6F1"/>
      </patternFill>
    </fill>
    <fill>
      <patternFill patternType="solid">
        <fgColor rgb="00F0F5F7"/>
      </patternFill>
    </fill>
    <fill>
      <patternFill patternType="solid">
        <fgColor rgb="005B8FA8"/>
      </patternFill>
    </fill>
    <fill>
      <patternFill patternType="solid">
        <fgColor rgb="00457B9D"/>
      </patternFill>
    </fill>
    <fill>
      <patternFill patternType="solid">
        <fgColor rgb="00E09F3E"/>
      </patternFill>
    </fill>
    <fill>
      <patternFill patternType="solid">
        <fgColor rgb="007B2D8E"/>
      </patternFill>
    </fill>
    <fill>
      <patternFill patternType="solid">
        <fgColor rgb="00C1121F"/>
      </patternFill>
    </fill>
    <fill>
      <patternFill patternType="solid">
        <fgColor rgb="002D6A4F"/>
      </patternFill>
    </fill>
  </fills>
  <borders count="2">
    <border>
      <left/>
      <right/>
      <top/>
      <bottom/>
      <diagonal/>
    </border>
    <border>
      <left style="thin">
        <color rgb="00CED4DA"/>
      </left>
      <right style="thin">
        <color rgb="00CED4DA"/>
      </right>
      <top style="thin">
        <color rgb="00CED4DA"/>
      </top>
      <bottom style="thin">
        <color rgb="00CED4DA"/>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3" borderId="1" applyAlignment="1" pivotButton="0" quotePrefix="0" xfId="0">
      <alignment horizontal="center" vertical="center" wrapText="1"/>
    </xf>
    <xf numFmtId="0" fontId="11" fillId="0" borderId="1" applyAlignment="1" pivotButton="0" quotePrefix="0" xfId="0">
      <alignment horizontal="left" vertical="center" wrapText="1"/>
    </xf>
    <xf numFmtId="0" fontId="11" fillId="4" borderId="1" applyAlignment="1" pivotButton="0" quotePrefix="0" xfId="0">
      <alignment horizontal="center" vertical="center" wrapText="1"/>
    </xf>
    <xf numFmtId="0" fontId="11" fillId="5" borderId="1" applyAlignment="1" pivotButton="0" quotePrefix="0" xfId="0">
      <alignment horizontal="center" vertical="center" wrapText="1"/>
    </xf>
    <xf numFmtId="0" fontId="12" fillId="6" borderId="1" pivotButton="0" quotePrefix="0" xfId="0"/>
    <xf numFmtId="0" fontId="11" fillId="7" borderId="1" applyAlignment="1" pivotButton="0" quotePrefix="0" xfId="0">
      <alignment horizontal="left" vertical="center" wrapText="1"/>
    </xf>
    <xf numFmtId="165" fontId="11" fillId="7" borderId="1" applyAlignment="1" pivotButton="0" quotePrefix="0" xfId="0">
      <alignment horizontal="center" vertical="center" wrapText="1"/>
    </xf>
    <xf numFmtId="0" fontId="11" fillId="7" borderId="1" applyAlignment="1" pivotButton="0" quotePrefix="0" xfId="0">
      <alignment horizontal="center" vertical="center" wrapText="1"/>
    </xf>
    <xf numFmtId="0" fontId="4" fillId="0" borderId="0" pivotButton="0" quotePrefix="0" xfId="0"/>
    <xf numFmtId="0" fontId="13" fillId="0" borderId="0" pivotButton="0" quotePrefix="0" xfId="0"/>
    <xf numFmtId="0" fontId="14" fillId="6" borderId="1" applyAlignment="1" pivotButton="0" quotePrefix="0" xfId="0">
      <alignment horizontal="center"/>
    </xf>
    <xf numFmtId="0" fontId="15" fillId="0" borderId="0" pivotButton="0" quotePrefix="0" xfId="0"/>
    <xf numFmtId="165" fontId="14" fillId="6" borderId="1" applyAlignment="1" pivotButton="0" quotePrefix="0" xfId="0">
      <alignment horizontal="center"/>
    </xf>
    <xf numFmtId="165" fontId="11" fillId="0" borderId="1" applyAlignment="1" pivotButton="0" quotePrefix="0" xfId="0">
      <alignment horizontal="center" vertical="center" wrapText="1"/>
    </xf>
    <xf numFmtId="0" fontId="11" fillId="8" borderId="1" applyAlignment="1" pivotButton="0" quotePrefix="0" xfId="0">
      <alignment horizontal="center" vertical="center" wrapText="1"/>
    </xf>
    <xf numFmtId="165" fontId="11" fillId="8" borderId="1" applyAlignment="1" pivotButton="0" quotePrefix="0" xfId="0">
      <alignment horizontal="center" vertical="center" wrapText="1"/>
    </xf>
    <xf numFmtId="0" fontId="11" fillId="8" borderId="1" applyAlignment="1" pivotButton="0" quotePrefix="0" xfId="0">
      <alignment horizontal="left" vertical="center" wrapText="1"/>
    </xf>
    <xf numFmtId="0" fontId="16" fillId="0" borderId="0" pivotButton="0" quotePrefix="0" xfId="0"/>
    <xf numFmtId="0" fontId="17" fillId="2" borderId="1" applyAlignment="1" pivotButton="0" quotePrefix="0" xfId="0">
      <alignment horizontal="center" vertical="center" textRotation="90" wrapText="1"/>
    </xf>
    <xf numFmtId="0" fontId="17" fillId="9" borderId="1" applyAlignment="1" pivotButton="0" quotePrefix="0" xfId="0">
      <alignment horizontal="center" vertical="center" textRotation="90" wrapText="1"/>
    </xf>
    <xf numFmtId="0" fontId="11" fillId="6" borderId="1" applyAlignment="1" pivotButton="0" quotePrefix="0" xfId="0">
      <alignment horizontal="center" vertical="center" wrapText="1"/>
    </xf>
    <xf numFmtId="0" fontId="11" fillId="6" borderId="1" applyAlignment="1" pivotButton="0" quotePrefix="0" xfId="0">
      <alignment horizontal="left" vertical="center" wrapText="1"/>
    </xf>
    <xf numFmtId="165" fontId="11" fillId="6" borderId="1" applyAlignment="1" pivotButton="0" quotePrefix="0" xfId="0">
      <alignment horizontal="center" vertical="center" wrapText="1"/>
    </xf>
    <xf numFmtId="0" fontId="18" fillId="0" borderId="1" applyAlignment="1" pivotButton="0" quotePrefix="0" xfId="0">
      <alignment horizontal="center"/>
    </xf>
    <xf numFmtId="0" fontId="19" fillId="0" borderId="0" pivotButton="0" quotePrefix="0" xfId="0"/>
    <xf numFmtId="0" fontId="20" fillId="10" borderId="1" applyAlignment="1" pivotButton="0" quotePrefix="0" xfId="0">
      <alignment horizontal="center"/>
    </xf>
    <xf numFmtId="0" fontId="20" fillId="11" borderId="1" applyAlignment="1" pivotButton="0" quotePrefix="0" xfId="0">
      <alignment horizontal="center"/>
    </xf>
    <xf numFmtId="0" fontId="20" fillId="12" borderId="1" applyAlignment="1" pivotButton="0" quotePrefix="0" xfId="0">
      <alignment horizontal="center"/>
    </xf>
    <xf numFmtId="0" fontId="20" fillId="13" borderId="1" applyAlignment="1" pivotButton="0" quotePrefix="0" xfId="0">
      <alignment horizontal="center"/>
    </xf>
    <xf numFmtId="0" fontId="20" fillId="14" borderId="1" applyAlignment="1" pivotButton="0" quotePrefix="0" xfId="0">
      <alignment horizontal="center"/>
    </xf>
    <xf numFmtId="0" fontId="21" fillId="0" borderId="0" pivotButton="0" quotePrefix="0" xfId="0"/>
    <xf numFmtId="0" fontId="22" fillId="0" borderId="0" pivotButton="0" quotePrefix="0" xfId="0"/>
    <xf numFmtId="0" fontId="13" fillId="8" borderId="1" pivotButton="0" quotePrefix="0" xfId="0"/>
    <xf numFmtId="0" fontId="23" fillId="6" borderId="1" applyAlignment="1" pivotButton="0" quotePrefix="0" xfId="0">
      <alignment horizontal="center"/>
    </xf>
    <xf numFmtId="9" fontId="11" fillId="0" borderId="1" applyAlignment="1" pivotButton="0" quotePrefix="0" xfId="0">
      <alignment horizontal="center" vertical="center" wrapText="1"/>
    </xf>
    <xf numFmtId="9" fontId="11" fillId="8" borderId="1" applyAlignment="1" pivotButton="0" quotePrefix="0" xfId="0">
      <alignment horizontal="center" vertical="center" wrapText="1"/>
    </xf>
    <xf numFmtId="0" fontId="24" fillId="6"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8" borderId="1" applyAlignment="1" pivotButton="0" quotePrefix="0" xfId="0">
      <alignment horizontal="center" vertical="center" wrapText="1"/>
    </xf>
  </cellXfs>
  <cellStyles count="1">
    <cellStyle name="Normal" xfId="0" builtinId="0" hidden="0"/>
  </cellStyles>
  <dxfs count="10">
    <dxf>
      <fill>
        <patternFill patternType="solid">
          <fgColor rgb="002D6A4F"/>
        </patternFill>
      </fill>
    </dxf>
    <dxf>
      <fill>
        <patternFill patternType="solid">
          <fgColor rgb="00C1121F"/>
        </patternFill>
      </fill>
    </dxf>
    <dxf>
      <fill>
        <patternFill patternType="solid">
          <fgColor rgb="007B2D8E"/>
        </patternFill>
      </fill>
    </dxf>
    <dxf>
      <fill>
        <patternFill patternType="solid">
          <fgColor rgb="00E09F3E"/>
        </patternFill>
      </fill>
    </dxf>
    <dxf>
      <fill>
        <patternFill patternType="solid">
          <fgColor rgb="00457B9D"/>
        </patternFill>
      </fill>
    </dxf>
    <dxf>
      <fill>
        <patternFill patternType="solid">
          <fgColor rgb="0095D5B2"/>
        </patternFill>
      </fill>
    </dxf>
    <dxf>
      <fill>
        <patternFill patternType="solid">
          <fgColor rgb="00FCE4B3"/>
        </patternFill>
      </fill>
    </dxf>
    <dxf>
      <fill>
        <patternFill patternType="solid">
          <fgColor rgb="00E0C3FC"/>
        </patternFill>
      </fill>
    </dxf>
    <dxf>
      <fill>
        <patternFill patternType="solid">
          <fgColor rgb="00F5C2C7"/>
        </patternFill>
      </fill>
    </dxf>
    <dxf>
      <fill>
        <patternFill patternType="solid">
          <fgColor rgb="00A8D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Répartition des maîtrises</a:t>
            </a:r>
          </a:p>
        </rich>
      </tx>
    </title>
    <plotArea>
      <doughnutChart>
        <varyColors val="1"/>
        <ser>
          <idx val="0"/>
          <order val="0"/>
          <tx>
            <strRef>
              <f>'Tableau de bord'!I5</f>
            </strRef>
          </tx>
          <spPr>
            <a:ln>
              <a:prstDash val="solid"/>
            </a:ln>
          </spPr>
          <cat>
            <numRef>
              <f>'Tableau de bord'!$H$6:$H$10</f>
            </numRef>
          </cat>
          <val>
            <numRef>
              <f>'Tableau de bord'!$I$6:$I$10</f>
            </numRef>
          </val>
        </ser>
        <dLbls>
          <showVal val="0"/>
          <showPercent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11</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B26"/>
  <sheetViews>
    <sheetView showGridLines="0" workbookViewId="0">
      <selection activeCell="A1" sqref="A1"/>
    </sheetView>
  </sheetViews>
  <sheetFormatPr baseColWidth="8" defaultRowHeight="15"/>
  <cols>
    <col width="3" customWidth="1" min="1" max="1"/>
    <col width="98" customWidth="1" min="2" max="2"/>
  </cols>
  <sheetData>
    <row r="2">
      <c r="B2" s="1" t="inlineStr">
        <is>
          <t>DSCG 1 — Suivi des révisions sur l'année (alternance)</t>
        </is>
      </c>
    </row>
    <row r="3">
      <c r="B3" s="2" t="inlineStr">
        <is>
          <t>Carte de navigation oct. 2026 → oct. 2027 : savoir où tu en es, quoi reprendre, et ne rien laisser filer — sans bachoter.</t>
        </is>
      </c>
    </row>
    <row r="5">
      <c r="B5" s="3" t="inlineStr">
        <is>
          <t>1. Ton rythme (onglet Mon rythme)</t>
        </is>
      </c>
    </row>
    <row r="6" ht="42" customHeight="1">
      <c r="B6" s="4" t="inlineStr">
        <is>
          <t>3 j. cours + 2 j. entreprise, 1 sem. de congés en décembre, 3 sem. l'été. C'est ta réalité : les heures de révision perso sont calibrées là-dessus.</t>
        </is>
      </c>
    </row>
    <row r="8">
      <c r="B8" s="3" t="inlineStr">
        <is>
          <t>2. Paramètres</t>
        </is>
      </c>
    </row>
    <row r="9" ht="42" customHeight="1">
      <c r="B9" s="4" t="inlineStr">
        <is>
          <t>Début = 01/10/2026, examen = ~15/10/2027. Tu peux ajuster le délai entre deux passages d'un thème (révisions espacées) et tes heures dispo / semaine.</t>
        </is>
      </c>
    </row>
    <row r="11">
      <c r="B11" s="3" t="inlineStr">
        <is>
          <t>3. Planning Gantt (outil principal)</t>
        </is>
      </c>
    </row>
    <row r="12" ht="42" customHeight="1">
      <c r="B12" s="4" t="inlineStr">
        <is>
          <t>1 ligne = 1 thème. Zone jaune = saisie (maîtrise, dernière révision, nb passages, étapes, notes). Les barres montrent les mois prévus. Les mois de congés sont marqués en bleu clair dans le calendrier.</t>
        </is>
      </c>
    </row>
    <row r="14">
      <c r="B14" s="3" t="inlineStr">
        <is>
          <t>4. Ne pas te perdre</t>
        </is>
      </c>
    </row>
    <row r="15" ht="42" customHeight="1">
      <c r="B15" s="4" t="inlineStr">
        <is>
          <t>Colonne Alerte : « À reprendre », « Période en cours », « À consolider ». Chaque dimanche (5 min) : filtre les alertes → choisis 2 thèmes max pour la semaine.</t>
        </is>
      </c>
    </row>
    <row r="17">
      <c r="B17" s="3" t="inlineStr">
        <is>
          <t>5. Alternance = peu de créneaux</t>
        </is>
      </c>
    </row>
    <row r="18" ht="42" customHeight="1">
      <c r="B18" s="4" t="inlineStr">
        <is>
          <t>Priorise la qualité : 1 thème bien repris &gt; 5 thèmes survolés. Les soirs d'entreprise = fiches / annales courtes. Les soirs de cours = reprendre le chapitre du jour + 1 ancien thème.</t>
        </is>
      </c>
    </row>
    <row r="20">
      <c r="B20" s="3" t="inlineStr">
        <is>
          <t>6. Congés</t>
        </is>
      </c>
    </row>
    <row r="21" ht="42" customHeight="1">
      <c r="B21" s="4" t="inlineStr">
        <is>
          <t>Décembre (1 sem.) : pause réelle, éventuellement 1 fiche légère. Été (3 sem.) : pause, puis reprise douce via la ligne « fiches express ».</t>
        </is>
      </c>
    </row>
    <row r="24">
      <c r="B24" s="5" t="inlineStr">
        <is>
          <t>Ce que ce classeur n'est pas</t>
        </is>
      </c>
    </row>
    <row r="26">
      <c r="B26" s="6" t="inlineStr">
        <is>
          <t>Pas un planning de bachotage pré-examen. C'est un fil rouge sur 13 mois pour suivre tes acquis au fil des cours, avec des reprises espacées.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29"/>
  <sheetViews>
    <sheetView showGridLines="0" workbookViewId="0">
      <selection activeCell="A1" sqref="A1"/>
    </sheetView>
  </sheetViews>
  <sheetFormatPr baseColWidth="8" defaultRowHeight="15"/>
  <cols>
    <col width="3" customWidth="1" min="1" max="1"/>
    <col width="28" customWidth="1" min="2" max="2"/>
    <col width="18" customWidth="1" min="3" max="3"/>
    <col width="18" customWidth="1" min="4" max="4"/>
    <col width="18" customWidth="1" min="5" max="5"/>
    <col width="40" customWidth="1" min="6" max="6"/>
  </cols>
  <sheetData>
    <row r="2">
      <c r="B2" s="7" t="inlineStr">
        <is>
          <t>Mon rythme — alternance &amp; congés</t>
        </is>
      </c>
    </row>
    <row r="3">
      <c r="B3" s="8" t="inlineStr">
        <is>
          <t>Semaine type et périodes sans cours. Modifie si ton planning d'entreprise change.</t>
        </is>
      </c>
    </row>
    <row r="5">
      <c r="B5" s="9" t="inlineStr">
        <is>
          <t>Semaine type</t>
        </is>
      </c>
    </row>
    <row r="6">
      <c r="B6" s="10" t="inlineStr">
        <is>
          <t>Jour</t>
        </is>
      </c>
      <c r="C6" s="10" t="inlineStr">
        <is>
          <t>Lieu</t>
        </is>
      </c>
      <c r="D6" s="10" t="inlineStr">
        <is>
          <t>Révision perso conseillée</t>
        </is>
      </c>
      <c r="E6" s="10" t="inlineStr">
        <is>
          <t>Durée indicative</t>
        </is>
      </c>
    </row>
    <row r="7">
      <c r="B7" s="11" t="inlineStr">
        <is>
          <t>Lundi</t>
        </is>
      </c>
      <c r="C7" s="12" t="inlineStr">
        <is>
          <t>Cours</t>
        </is>
      </c>
      <c r="D7" s="13" t="inlineStr">
        <is>
          <t>Reprendre le cours du jour + 1 ancien thème</t>
        </is>
      </c>
      <c r="E7" s="11" t="inlineStr">
        <is>
          <t>45–60 min</t>
        </is>
      </c>
    </row>
    <row r="8">
      <c r="B8" s="11" t="inlineStr">
        <is>
          <t>Mardi</t>
        </is>
      </c>
      <c r="C8" s="12" t="inlineStr">
        <is>
          <t>Cours</t>
        </is>
      </c>
      <c r="D8" s="13" t="inlineStr">
        <is>
          <t>Exercices du chapitre en cours</t>
        </is>
      </c>
      <c r="E8" s="11" t="inlineStr">
        <is>
          <t>45–60 min</t>
        </is>
      </c>
    </row>
    <row r="9">
      <c r="B9" s="11" t="inlineStr">
        <is>
          <t>Mercredi</t>
        </is>
      </c>
      <c r="C9" s="12" t="inlineStr">
        <is>
          <t>Cours</t>
        </is>
      </c>
      <c r="D9" s="13" t="inlineStr">
        <is>
          <t>Fiche du chapitre de la semaine</t>
        </is>
      </c>
      <c r="E9" s="11" t="inlineStr">
        <is>
          <t>30–45 min</t>
        </is>
      </c>
    </row>
    <row r="10">
      <c r="B10" s="11" t="inlineStr">
        <is>
          <t>Jeudi</t>
        </is>
      </c>
      <c r="C10" s="14" t="inlineStr">
        <is>
          <t>Entreprise</t>
        </is>
      </c>
      <c r="D10" s="13" t="inlineStr">
        <is>
          <t>Fiches / flashcards (léger)</t>
        </is>
      </c>
      <c r="E10" s="11" t="inlineStr">
        <is>
          <t>20–30 min</t>
        </is>
      </c>
    </row>
    <row r="11">
      <c r="B11" s="11" t="inlineStr">
        <is>
          <t>Vendredi</t>
        </is>
      </c>
      <c r="C11" s="14" t="inlineStr">
        <is>
          <t>Entreprise</t>
        </is>
      </c>
      <c r="D11" s="13" t="inlineStr">
        <is>
          <t>1 exercice court OU rien si fatigue</t>
        </is>
      </c>
      <c r="E11" s="11" t="inlineStr">
        <is>
          <t>0–30 min</t>
        </is>
      </c>
    </row>
    <row r="12">
      <c r="B12" s="11" t="inlineStr">
        <is>
          <t>Samedi</t>
        </is>
      </c>
      <c r="C12" s="15" t="inlineStr">
        <is>
          <t>Perso</t>
        </is>
      </c>
      <c r="D12" s="13" t="inlineStr">
        <is>
          <t>Bloc révision (thème Alerte)</t>
        </is>
      </c>
      <c r="E12" s="11" t="inlineStr">
        <is>
          <t>1h30–2h</t>
        </is>
      </c>
    </row>
    <row r="13">
      <c r="B13" s="11" t="inlineStr">
        <is>
          <t>Dimanche</t>
        </is>
      </c>
      <c r="C13" s="15" t="inlineStr">
        <is>
          <t>Perso</t>
        </is>
      </c>
      <c r="D13" s="13" t="inlineStr">
        <is>
          <t>Bilan 5 min + planning semaine suivante</t>
        </is>
      </c>
      <c r="E13" s="11" t="inlineStr">
        <is>
          <t>15 min</t>
        </is>
      </c>
    </row>
    <row r="15">
      <c r="B15" s="9" t="inlineStr">
        <is>
          <t>Charge réaliste / semaine</t>
        </is>
      </c>
    </row>
    <row r="16">
      <c r="B16" s="13" t="inlineStr">
        <is>
          <t>Heures révision perso (hors cours)</t>
        </is>
      </c>
      <c r="C16" s="16" t="n">
        <v>6</v>
      </c>
      <c r="D16" t="inlineStr">
        <is>
          <t>→ recopié dans Paramètres!C7 (tu peux modifier là-bas)</t>
        </is>
      </c>
    </row>
    <row r="18">
      <c r="B18" s="9" t="inlineStr">
        <is>
          <t>Congés (pas de bachotage)</t>
        </is>
      </c>
    </row>
    <row r="19">
      <c r="B19" s="10" t="inlineStr">
        <is>
          <t>Période</t>
        </is>
      </c>
      <c r="C19" s="10" t="inlineStr">
        <is>
          <t>Début</t>
        </is>
      </c>
      <c r="D19" s="10" t="inlineStr">
        <is>
          <t>Fin</t>
        </is>
      </c>
      <c r="E19" s="10" t="inlineStr">
        <is>
          <t>Semaines</t>
        </is>
      </c>
      <c r="F19" s="10" t="inlineStr">
        <is>
          <t>Consigne</t>
        </is>
      </c>
    </row>
    <row r="20">
      <c r="B20" s="17" t="inlineStr">
        <is>
          <t>Congés décembre</t>
        </is>
      </c>
      <c r="C20" s="18" t="n">
        <v>46377</v>
      </c>
      <c r="D20" s="18" t="n">
        <v>46383</v>
      </c>
      <c r="E20" s="19" t="n">
        <v>1</v>
      </c>
      <c r="F20" s="17" t="inlineStr">
        <is>
          <t>Pause réelle — 1 fiche max si tu en as envie</t>
        </is>
      </c>
    </row>
    <row r="21">
      <c r="B21" s="17" t="inlineStr">
        <is>
          <t>Congés d'été</t>
        </is>
      </c>
      <c r="C21" s="18" t="n">
        <v>46587</v>
      </c>
      <c r="D21" s="18" t="n">
        <v>46607</v>
      </c>
      <c r="E21" s="19" t="n">
        <v>3</v>
      </c>
      <c r="F21" s="17" t="inlineStr">
        <is>
          <t>3 semaines off, puis reprise douce (fiches express)</t>
        </is>
      </c>
    </row>
    <row r="24">
      <c r="B24" s="3" t="inlineStr">
        <is>
          <t>Règles d'or en alternance</t>
        </is>
      </c>
    </row>
    <row r="25">
      <c r="B25" s="20" t="inlineStr">
        <is>
          <t>• Max 2 thèmes de révision perso par semaine (sinon tu te disperses).</t>
        </is>
      </c>
    </row>
    <row r="26">
      <c r="B26" s="20" t="inlineStr">
        <is>
          <t>• Après chaque cours : note dans le Gantt si le chapitre est « En cours » ou « Vu une fois ».</t>
        </is>
      </c>
    </row>
    <row r="27">
      <c r="B27" s="20" t="inlineStr">
        <is>
          <t>• Un thème « Acquis » qui coinçe en TD → repasse-le immédiatement en « À consolider ».</t>
        </is>
      </c>
    </row>
    <row r="28">
      <c r="B28" s="20" t="inlineStr">
        <is>
          <t>• Les soirs d'entreprise : jamais de nouveau chapitre lourd — fiches ou rien.</t>
        </is>
      </c>
    </row>
    <row r="29">
      <c r="B29" s="20" t="inlineStr">
        <is>
          <t>• Dimanche = seul moment de pilotage (alertes + choix de la semaine).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27"/>
  <sheetViews>
    <sheetView showGridLines="0" workbookViewId="0">
      <selection activeCell="A1" sqref="A1"/>
    </sheetView>
  </sheetViews>
  <sheetFormatPr baseColWidth="8" defaultRowHeight="15"/>
  <cols>
    <col width="3" customWidth="1" min="1" max="1"/>
    <col width="42" customWidth="1" min="2" max="2"/>
    <col width="18" customWidth="1" min="3" max="3"/>
    <col width="55" customWidth="1" min="4" max="4"/>
    <col width="28" customWidth="1" min="5" max="5"/>
  </cols>
  <sheetData>
    <row r="2">
      <c r="B2" s="7" t="inlineStr">
        <is>
          <t>Paramètres de l'année</t>
        </is>
      </c>
    </row>
    <row r="4">
      <c r="B4" s="21" t="inlineStr">
        <is>
          <t>Prénom / Identifiant</t>
        </is>
      </c>
      <c r="C4" s="22" t="inlineStr">
        <is>
          <t>Élève DSCG 1</t>
        </is>
      </c>
      <c r="D4" s="23" t="inlineStr">
        <is>
          <t>Optionnel</t>
        </is>
      </c>
    </row>
    <row r="5">
      <c r="B5" s="21" t="inlineStr">
        <is>
          <t>Début (1er mois du Gantt)</t>
        </is>
      </c>
      <c r="C5" s="24" t="n">
        <v>46296</v>
      </c>
      <c r="D5" s="23" t="inlineStr">
        <is>
          <t>Octobre 2026</t>
        </is>
      </c>
    </row>
    <row r="6">
      <c r="B6" s="21" t="inlineStr">
        <is>
          <t>Examen final (repère)</t>
        </is>
      </c>
      <c r="C6" s="24" t="n">
        <v>46675</v>
      </c>
      <c r="D6" s="23" t="inlineStr">
        <is>
          <t>Octobre 2027 — pas un compte à rebours stressant</t>
        </is>
      </c>
    </row>
    <row r="7">
      <c r="B7" s="21" t="inlineStr">
        <is>
          <t>Heures révision perso / semaine</t>
        </is>
      </c>
      <c r="C7" s="22" t="n">
        <v>6</v>
      </c>
      <c r="D7" s="23" t="inlineStr">
        <is>
          <t>Calé sur ton rythme alternance (voir Mon rythme)</t>
        </is>
      </c>
    </row>
    <row r="8">
      <c r="B8" s="21" t="inlineStr">
        <is>
          <t>Délai entre 2 passages (jours)</t>
        </is>
      </c>
      <c r="C8" s="22" t="n">
        <v>45</v>
      </c>
      <c r="D8" s="23" t="inlineStr">
        <is>
          <t>Révisions espacées : ~6 semaines entre deux passages</t>
        </is>
      </c>
    </row>
    <row r="10">
      <c r="B10" s="9" t="inlineStr">
        <is>
          <t>Calendrier des 13 mois (oct. 2026 → oct. 2027)</t>
        </is>
      </c>
    </row>
    <row r="11">
      <c r="B11" s="10" t="inlineStr">
        <is>
          <t>N° mois</t>
        </is>
      </c>
      <c r="C11" s="10" t="inlineStr">
        <is>
          <t>1er jour du mois</t>
        </is>
      </c>
      <c r="D11" s="10" t="inlineStr">
        <is>
          <t>Libellé Gantt</t>
        </is>
      </c>
      <c r="E11" s="10" t="inlineStr">
        <is>
          <t>Repère</t>
        </is>
      </c>
    </row>
    <row r="12">
      <c r="B12" s="11" t="n">
        <v>1</v>
      </c>
      <c r="C12" s="25">
        <f>EDATE($C$5,1-1)</f>
        <v/>
      </c>
      <c r="D12" s="11">
        <f>TEXT(C12,"MMM YY")</f>
        <v/>
      </c>
      <c r="E12" s="13" t="inlineStr"/>
    </row>
    <row r="13">
      <c r="B13" s="26" t="n">
        <v>2</v>
      </c>
      <c r="C13" s="27">
        <f>EDATE($C$5,2-1)</f>
        <v/>
      </c>
      <c r="D13" s="26">
        <f>TEXT(C13,"MMM YY")</f>
        <v/>
      </c>
      <c r="E13" s="28" t="inlineStr"/>
    </row>
    <row r="14">
      <c r="B14" s="19" t="n">
        <v>3</v>
      </c>
      <c r="C14" s="18">
        <f>EDATE($C$5,3-1)</f>
        <v/>
      </c>
      <c r="D14" s="19">
        <f>TEXT(C14,"MMM YY")</f>
        <v/>
      </c>
      <c r="E14" s="17" t="inlineStr">
        <is>
          <t>Congés déc. (1 sem.)</t>
        </is>
      </c>
    </row>
    <row r="15">
      <c r="B15" s="26" t="n">
        <v>4</v>
      </c>
      <c r="C15" s="27">
        <f>EDATE($C$5,4-1)</f>
        <v/>
      </c>
      <c r="D15" s="26">
        <f>TEXT(C15,"MMM YY")</f>
        <v/>
      </c>
      <c r="E15" s="28" t="inlineStr"/>
    </row>
    <row r="16">
      <c r="B16" s="11" t="n">
        <v>5</v>
      </c>
      <c r="C16" s="25">
        <f>EDATE($C$5,5-1)</f>
        <v/>
      </c>
      <c r="D16" s="11">
        <f>TEXT(C16,"MMM YY")</f>
        <v/>
      </c>
      <c r="E16" s="13" t="inlineStr"/>
    </row>
    <row r="17">
      <c r="B17" s="26" t="n">
        <v>6</v>
      </c>
      <c r="C17" s="27">
        <f>EDATE($C$5,6-1)</f>
        <v/>
      </c>
      <c r="D17" s="26">
        <f>TEXT(C17,"MMM YY")</f>
        <v/>
      </c>
      <c r="E17" s="28" t="inlineStr"/>
    </row>
    <row r="18">
      <c r="B18" s="11" t="n">
        <v>7</v>
      </c>
      <c r="C18" s="25">
        <f>EDATE($C$5,7-1)</f>
        <v/>
      </c>
      <c r="D18" s="11">
        <f>TEXT(C18,"MMM YY")</f>
        <v/>
      </c>
      <c r="E18" s="13" t="inlineStr"/>
    </row>
    <row r="19">
      <c r="B19" s="26" t="n">
        <v>8</v>
      </c>
      <c r="C19" s="27">
        <f>EDATE($C$5,8-1)</f>
        <v/>
      </c>
      <c r="D19" s="26">
        <f>TEXT(C19,"MMM YY")</f>
        <v/>
      </c>
      <c r="E19" s="28" t="inlineStr"/>
    </row>
    <row r="20">
      <c r="B20" s="11" t="n">
        <v>9</v>
      </c>
      <c r="C20" s="25">
        <f>EDATE($C$5,9-1)</f>
        <v/>
      </c>
      <c r="D20" s="11">
        <f>TEXT(C20,"MMM YY")</f>
        <v/>
      </c>
      <c r="E20" s="13" t="inlineStr"/>
    </row>
    <row r="21">
      <c r="B21" s="19" t="n">
        <v>10</v>
      </c>
      <c r="C21" s="18">
        <f>EDATE($C$5,10-1)</f>
        <v/>
      </c>
      <c r="D21" s="19">
        <f>TEXT(C21,"MMM YY")</f>
        <v/>
      </c>
      <c r="E21" s="17" t="inlineStr">
        <is>
          <t>Congés été (début)</t>
        </is>
      </c>
    </row>
    <row r="22">
      <c r="B22" s="19" t="n">
        <v>11</v>
      </c>
      <c r="C22" s="18">
        <f>EDATE($C$5,11-1)</f>
        <v/>
      </c>
      <c r="D22" s="19">
        <f>TEXT(C22,"MMM YY")</f>
        <v/>
      </c>
      <c r="E22" s="17" t="inlineStr">
        <is>
          <t>Congés été (suite)</t>
        </is>
      </c>
    </row>
    <row r="23">
      <c r="B23" s="26" t="n">
        <v>12</v>
      </c>
      <c r="C23" s="27">
        <f>EDATE($C$5,12-1)</f>
        <v/>
      </c>
      <c r="D23" s="26">
        <f>TEXT(C23,"MMM YY")</f>
        <v/>
      </c>
      <c r="E23" s="28" t="inlineStr"/>
    </row>
    <row r="24">
      <c r="B24" s="11" t="n">
        <v>13</v>
      </c>
      <c r="C24" s="25">
        <f>EDATE($C$5,13-1)</f>
        <v/>
      </c>
      <c r="D24" s="11">
        <f>TEXT(C24,"MMM YY")</f>
        <v/>
      </c>
      <c r="E24" s="13" t="inlineStr">
        <is>
          <t>Mois de l'examen</t>
        </is>
      </c>
    </row>
    <row r="27">
      <c r="B27" s="29" t="inlineStr">
        <is>
          <t>Ne renomme pas cet onglet ni C5/C8 : le Planning Gantt s'y réfère.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B2:Y58"/>
  <sheetViews>
    <sheetView showGridLines="0" workbookViewId="0">
      <pane xSplit="9" ySplit="4" topLeftCell="J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6" customWidth="1" min="3" max="3"/>
    <col width="11" customWidth="1" min="4" max="4"/>
    <col width="10" customWidth="1" min="5" max="5"/>
    <col width="14" customWidth="1" min="6" max="6"/>
    <col width="13" customWidth="1" min="7" max="7"/>
    <col width="13" customWidth="1" min="8" max="8"/>
    <col width="11" customWidth="1" min="9" max="9"/>
    <col width="14" customWidth="1" min="10" max="10"/>
    <col width="12" customWidth="1" min="11" max="11"/>
    <col width="26" customWidth="1" min="12" max="12"/>
    <col width="5.8" customWidth="1" min="13" max="13"/>
    <col width="5.8" customWidth="1" min="14" max="14"/>
    <col width="5.8" customWidth="1" min="15" max="15"/>
    <col width="5.8" customWidth="1" min="16" max="16"/>
    <col width="5.8" customWidth="1" min="17" max="17"/>
    <col width="5.8" customWidth="1" min="18" max="18"/>
    <col width="5.8" customWidth="1" min="19" max="19"/>
    <col width="5.8" customWidth="1" min="20" max="20"/>
    <col width="5.8" customWidth="1" min="21" max="21"/>
    <col width="5.8" customWidth="1" min="22" max="22"/>
    <col width="5.8" customWidth="1" min="23" max="23"/>
    <col width="5.8" customWidth="1" min="24" max="24"/>
    <col width="5.8" customWidth="1" min="25" max="25"/>
  </cols>
  <sheetData>
    <row r="2">
      <c r="B2" s="7" t="inlineStr">
        <is>
          <t>Planning Gantt — fil rouge oct. 2026 → oct. 2027</t>
        </is>
      </c>
    </row>
    <row r="3">
      <c r="B3" s="8" t="inlineStr">
        <is>
          <t>Jaune = saisie  •  Alerte = ce qu'il faut regarder dimanche  •  Barres = mois prévus  •  Déc / été = congés (ne surcharge pas)</t>
        </is>
      </c>
    </row>
    <row r="4" ht="72" customHeight="1">
      <c r="B4" s="10" t="inlineStr">
        <is>
          <t>UE</t>
        </is>
      </c>
      <c r="C4" s="10" t="inlineStr">
        <is>
          <t>Thème / Chapitre</t>
        </is>
      </c>
      <c r="D4" s="10" t="inlineStr">
        <is>
          <t>Type</t>
        </is>
      </c>
      <c r="E4" s="10" t="inlineStr">
        <is>
          <t>Priorité</t>
        </is>
      </c>
      <c r="F4" s="10" t="inlineStr">
        <is>
          <t>Maîtrise</t>
        </is>
      </c>
      <c r="G4" s="10" t="inlineStr">
        <is>
          <t>Dernière rév.</t>
        </is>
      </c>
      <c r="H4" s="10" t="inlineStr">
        <is>
          <t>Prochaine rév.</t>
        </is>
      </c>
      <c r="I4" s="10" t="inlineStr">
        <is>
          <t>Nb passages</t>
        </is>
      </c>
      <c r="J4" s="10" t="inlineStr">
        <is>
          <t>Alerte</t>
        </is>
      </c>
      <c r="K4" s="10" t="inlineStr">
        <is>
          <t>Étape</t>
        </is>
      </c>
      <c r="L4" s="10" t="inlineStr">
        <is>
          <t>Notes / bloquants</t>
        </is>
      </c>
      <c r="M4" s="30">
        <f>Paramètres!D12</f>
        <v/>
      </c>
      <c r="N4" s="30">
        <f>Paramètres!D13</f>
        <v/>
      </c>
      <c r="O4" s="31">
        <f>Paramètres!D14</f>
        <v/>
      </c>
      <c r="P4" s="30">
        <f>Paramètres!D15</f>
        <v/>
      </c>
      <c r="Q4" s="30">
        <f>Paramètres!D16</f>
        <v/>
      </c>
      <c r="R4" s="30">
        <f>Paramètres!D17</f>
        <v/>
      </c>
      <c r="S4" s="30">
        <f>Paramètres!D18</f>
        <v/>
      </c>
      <c r="T4" s="30">
        <f>Paramètres!D19</f>
        <v/>
      </c>
      <c r="U4" s="30">
        <f>Paramètres!D20</f>
        <v/>
      </c>
      <c r="V4" s="31">
        <f>Paramètres!D21</f>
        <v/>
      </c>
      <c r="W4" s="31">
        <f>Paramètres!D22</f>
        <v/>
      </c>
      <c r="X4" s="30">
        <f>Paramètres!D23</f>
        <v/>
      </c>
      <c r="Y4" s="30">
        <f>Paramètres!D24</f>
        <v/>
      </c>
    </row>
    <row r="5" ht="22" customHeight="1">
      <c r="B5" s="32" t="inlineStr">
        <is>
          <t>UE1</t>
        </is>
      </c>
      <c r="C5" s="33" t="inlineStr">
        <is>
          <t>Droit des sociétés — bases</t>
        </is>
      </c>
      <c r="D5" s="32" t="inlineStr">
        <is>
          <t>Cours</t>
        </is>
      </c>
      <c r="E5" s="32" t="inlineStr">
        <is>
          <t>Haute</t>
        </is>
      </c>
      <c r="F5" s="32" t="inlineStr">
        <is>
          <t>Non commencé</t>
        </is>
      </c>
      <c r="G5" s="34" t="n"/>
      <c r="H5" s="25">
        <f>IF(C5="","",IF(G5="","",G5+Paramètres!$C$8))</f>
        <v/>
      </c>
      <c r="I5" s="32" t="n">
        <v>0</v>
      </c>
      <c r="J5" s="11">
        <f>IF(C5="","",IF(AND(F5&lt;&gt;"Acquis",H5&lt;&gt;"",H5&lt;TODAY()),"À reprendre",IF(F5="À consolider","À consolider",IF(AND(F5="Non commencé",TODAY()&gt;=EDATE(Paramètres!$C$5,0),TODAY()&lt;EDATE(Paramètres!$C$5,2)),"Période en cours","OK"))))</f>
        <v/>
      </c>
      <c r="K5" s="32" t="inlineStr">
        <is>
          <t>Pas vu</t>
        </is>
      </c>
      <c r="L5" s="33" t="n"/>
      <c r="M5" s="35">
        <f>IF(C5="","",IF(AND(1&gt;=1,1&lt;=2),1,""))</f>
        <v/>
      </c>
      <c r="N5" s="35">
        <f>IF(C5="","",IF(AND(2&gt;=1,2&lt;=2),1,""))</f>
        <v/>
      </c>
      <c r="O5" s="35">
        <f>IF(C5="","",IF(AND(3&gt;=1,3&lt;=2),1,""))</f>
        <v/>
      </c>
      <c r="P5" s="35">
        <f>IF(C5="","",IF(AND(4&gt;=1,4&lt;=2),1,""))</f>
        <v/>
      </c>
      <c r="Q5" s="35">
        <f>IF(C5="","",IF(AND(5&gt;=1,5&lt;=2),1,""))</f>
        <v/>
      </c>
      <c r="R5" s="35">
        <f>IF(C5="","",IF(AND(6&gt;=1,6&lt;=2),1,""))</f>
        <v/>
      </c>
      <c r="S5" s="35">
        <f>IF(C5="","",IF(AND(7&gt;=1,7&lt;=2),1,""))</f>
        <v/>
      </c>
      <c r="T5" s="35">
        <f>IF(C5="","",IF(AND(8&gt;=1,8&lt;=2),1,""))</f>
        <v/>
      </c>
      <c r="U5" s="35">
        <f>IF(C5="","",IF(AND(9&gt;=1,9&lt;=2),1,""))</f>
        <v/>
      </c>
      <c r="V5" s="35">
        <f>IF(C5="","",IF(AND(10&gt;=1,10&lt;=2),1,""))</f>
        <v/>
      </c>
      <c r="W5" s="35">
        <f>IF(C5="","",IF(AND(11&gt;=1,11&lt;=2),1,""))</f>
        <v/>
      </c>
      <c r="X5" s="35">
        <f>IF(C5="","",IF(AND(12&gt;=1,12&lt;=2),1,""))</f>
        <v/>
      </c>
      <c r="Y5" s="35">
        <f>IF(C5="","",IF(AND(13&gt;=1,13&lt;=2),1,""))</f>
        <v/>
      </c>
    </row>
    <row r="6" ht="22" customHeight="1">
      <c r="B6" s="32" t="inlineStr">
        <is>
          <t>UE2</t>
        </is>
      </c>
      <c r="C6" s="33" t="inlineStr">
        <is>
          <t>Diagnostic financier</t>
        </is>
      </c>
      <c r="D6" s="32" t="inlineStr">
        <is>
          <t>Cours</t>
        </is>
      </c>
      <c r="E6" s="32" t="inlineStr">
        <is>
          <t>Haute</t>
        </is>
      </c>
      <c r="F6" s="32" t="inlineStr">
        <is>
          <t>Non commencé</t>
        </is>
      </c>
      <c r="G6" s="34" t="n"/>
      <c r="H6" s="25">
        <f>IF(C6="","",IF(G6="","",G6+Paramètres!$C$8))</f>
        <v/>
      </c>
      <c r="I6" s="32" t="n">
        <v>0</v>
      </c>
      <c r="J6" s="11">
        <f>IF(C6="","",IF(AND(F6&lt;&gt;"Acquis",H6&lt;&gt;"",H6&lt;TODAY()),"À reprendre",IF(F6="À consolider","À consolider",IF(AND(F6="Non commencé",TODAY()&gt;=EDATE(Paramètres!$C$5,0),TODAY()&lt;EDATE(Paramètres!$C$5,2)),"Période en cours","OK"))))</f>
        <v/>
      </c>
      <c r="K6" s="32" t="inlineStr">
        <is>
          <t>Pas vu</t>
        </is>
      </c>
      <c r="L6" s="33" t="n"/>
      <c r="M6" s="35">
        <f>IF(C6="","",IF(AND(1&gt;=1,1&lt;=2),1,""))</f>
        <v/>
      </c>
      <c r="N6" s="35">
        <f>IF(C6="","",IF(AND(2&gt;=1,2&lt;=2),1,""))</f>
        <v/>
      </c>
      <c r="O6" s="35">
        <f>IF(C6="","",IF(AND(3&gt;=1,3&lt;=2),1,""))</f>
        <v/>
      </c>
      <c r="P6" s="35">
        <f>IF(C6="","",IF(AND(4&gt;=1,4&lt;=2),1,""))</f>
        <v/>
      </c>
      <c r="Q6" s="35">
        <f>IF(C6="","",IF(AND(5&gt;=1,5&lt;=2),1,""))</f>
        <v/>
      </c>
      <c r="R6" s="35">
        <f>IF(C6="","",IF(AND(6&gt;=1,6&lt;=2),1,""))</f>
        <v/>
      </c>
      <c r="S6" s="35">
        <f>IF(C6="","",IF(AND(7&gt;=1,7&lt;=2),1,""))</f>
        <v/>
      </c>
      <c r="T6" s="35">
        <f>IF(C6="","",IF(AND(8&gt;=1,8&lt;=2),1,""))</f>
        <v/>
      </c>
      <c r="U6" s="35">
        <f>IF(C6="","",IF(AND(9&gt;=1,9&lt;=2),1,""))</f>
        <v/>
      </c>
      <c r="V6" s="35">
        <f>IF(C6="","",IF(AND(10&gt;=1,10&lt;=2),1,""))</f>
        <v/>
      </c>
      <c r="W6" s="35">
        <f>IF(C6="","",IF(AND(11&gt;=1,11&lt;=2),1,""))</f>
        <v/>
      </c>
      <c r="X6" s="35">
        <f>IF(C6="","",IF(AND(12&gt;=1,12&lt;=2),1,""))</f>
        <v/>
      </c>
      <c r="Y6" s="35">
        <f>IF(C6="","",IF(AND(13&gt;=1,13&lt;=2),1,""))</f>
        <v/>
      </c>
    </row>
    <row r="7" ht="22" customHeight="1">
      <c r="B7" s="32" t="inlineStr">
        <is>
          <t>UE4</t>
        </is>
      </c>
      <c r="C7" s="33" t="inlineStr">
        <is>
          <t>Consolidation — méthodes</t>
        </is>
      </c>
      <c r="D7" s="32" t="inlineStr">
        <is>
          <t>Cours</t>
        </is>
      </c>
      <c r="E7" s="32" t="inlineStr">
        <is>
          <t>Haute</t>
        </is>
      </c>
      <c r="F7" s="32" t="inlineStr">
        <is>
          <t>Non commencé</t>
        </is>
      </c>
      <c r="G7" s="34" t="n"/>
      <c r="H7" s="25">
        <f>IF(C7="","",IF(G7="","",G7+Paramètres!$C$8))</f>
        <v/>
      </c>
      <c r="I7" s="32" t="n">
        <v>0</v>
      </c>
      <c r="J7" s="11">
        <f>IF(C7="","",IF(AND(F7&lt;&gt;"Acquis",H7&lt;&gt;"",H7&lt;TODAY()),"À reprendre",IF(F7="À consolider","À consolider",IF(AND(F7="Non commencé",TODAY()&gt;=EDATE(Paramètres!$C$5,0),TODAY()&lt;EDATE(Paramètres!$C$5,3)),"Période en cours","OK"))))</f>
        <v/>
      </c>
      <c r="K7" s="32" t="inlineStr">
        <is>
          <t>Pas vu</t>
        </is>
      </c>
      <c r="L7" s="33" t="n"/>
      <c r="M7" s="35">
        <f>IF(C7="","",IF(AND(1&gt;=1,1&lt;=3),1,""))</f>
        <v/>
      </c>
      <c r="N7" s="35">
        <f>IF(C7="","",IF(AND(2&gt;=1,2&lt;=3),1,""))</f>
        <v/>
      </c>
      <c r="O7" s="35">
        <f>IF(C7="","",IF(AND(3&gt;=1,3&lt;=3),1,""))</f>
        <v/>
      </c>
      <c r="P7" s="35">
        <f>IF(C7="","",IF(AND(4&gt;=1,4&lt;=3),1,""))</f>
        <v/>
      </c>
      <c r="Q7" s="35">
        <f>IF(C7="","",IF(AND(5&gt;=1,5&lt;=3),1,""))</f>
        <v/>
      </c>
      <c r="R7" s="35">
        <f>IF(C7="","",IF(AND(6&gt;=1,6&lt;=3),1,""))</f>
        <v/>
      </c>
      <c r="S7" s="35">
        <f>IF(C7="","",IF(AND(7&gt;=1,7&lt;=3),1,""))</f>
        <v/>
      </c>
      <c r="T7" s="35">
        <f>IF(C7="","",IF(AND(8&gt;=1,8&lt;=3),1,""))</f>
        <v/>
      </c>
      <c r="U7" s="35">
        <f>IF(C7="","",IF(AND(9&gt;=1,9&lt;=3),1,""))</f>
        <v/>
      </c>
      <c r="V7" s="35">
        <f>IF(C7="","",IF(AND(10&gt;=1,10&lt;=3),1,""))</f>
        <v/>
      </c>
      <c r="W7" s="35">
        <f>IF(C7="","",IF(AND(11&gt;=1,11&lt;=3),1,""))</f>
        <v/>
      </c>
      <c r="X7" s="35">
        <f>IF(C7="","",IF(AND(12&gt;=1,12&lt;=3),1,""))</f>
        <v/>
      </c>
      <c r="Y7" s="35">
        <f>IF(C7="","",IF(AND(13&gt;=1,13&lt;=3),1,""))</f>
        <v/>
      </c>
    </row>
    <row r="8" ht="22" customHeight="1">
      <c r="B8" s="32" t="inlineStr">
        <is>
          <t>UE6</t>
        </is>
      </c>
      <c r="C8" s="33" t="inlineStr">
        <is>
          <t>Anglais — vocabulaire finance (fil rouge)</t>
        </is>
      </c>
      <c r="D8" s="32" t="inlineStr">
        <is>
          <t>Fiches</t>
        </is>
      </c>
      <c r="E8" s="32" t="inlineStr">
        <is>
          <t>Moyenne</t>
        </is>
      </c>
      <c r="F8" s="32" t="inlineStr">
        <is>
          <t>Non commencé</t>
        </is>
      </c>
      <c r="G8" s="34" t="n"/>
      <c r="H8" s="25">
        <f>IF(C8="","",IF(G8="","",G8+Paramètres!$C$8))</f>
        <v/>
      </c>
      <c r="I8" s="32" t="n">
        <v>0</v>
      </c>
      <c r="J8" s="11">
        <f>IF(C8="","",IF(AND(F8&lt;&gt;"Acquis",H8&lt;&gt;"",H8&lt;TODAY()),"À reprendre",IF(F8="À consolider","À consolider",IF(AND(F8="Non commencé",TODAY()&gt;=EDATE(Paramètres!$C$5,0),TODAY()&lt;EDATE(Paramètres!$C$5,13)),"Période en cours","OK"))))</f>
        <v/>
      </c>
      <c r="K8" s="32" t="inlineStr">
        <is>
          <t>Pas vu</t>
        </is>
      </c>
      <c r="L8" s="33" t="n"/>
      <c r="M8" s="35">
        <f>IF(C8="","",IF(AND(1&gt;=1,1&lt;=13),1,""))</f>
        <v/>
      </c>
      <c r="N8" s="35">
        <f>IF(C8="","",IF(AND(2&gt;=1,2&lt;=13),1,""))</f>
        <v/>
      </c>
      <c r="O8" s="35">
        <f>IF(C8="","",IF(AND(3&gt;=1,3&lt;=13),1,""))</f>
        <v/>
      </c>
      <c r="P8" s="35">
        <f>IF(C8="","",IF(AND(4&gt;=1,4&lt;=13),1,""))</f>
        <v/>
      </c>
      <c r="Q8" s="35">
        <f>IF(C8="","",IF(AND(5&gt;=1,5&lt;=13),1,""))</f>
        <v/>
      </c>
      <c r="R8" s="35">
        <f>IF(C8="","",IF(AND(6&gt;=1,6&lt;=13),1,""))</f>
        <v/>
      </c>
      <c r="S8" s="35">
        <f>IF(C8="","",IF(AND(7&gt;=1,7&lt;=13),1,""))</f>
        <v/>
      </c>
      <c r="T8" s="35">
        <f>IF(C8="","",IF(AND(8&gt;=1,8&lt;=13),1,""))</f>
        <v/>
      </c>
      <c r="U8" s="35">
        <f>IF(C8="","",IF(AND(9&gt;=1,9&lt;=13),1,""))</f>
        <v/>
      </c>
      <c r="V8" s="35">
        <f>IF(C8="","",IF(AND(10&gt;=1,10&lt;=13),1,""))</f>
        <v/>
      </c>
      <c r="W8" s="35">
        <f>IF(C8="","",IF(AND(11&gt;=1,11&lt;=13),1,""))</f>
        <v/>
      </c>
      <c r="X8" s="35">
        <f>IF(C8="","",IF(AND(12&gt;=1,12&lt;=13),1,""))</f>
        <v/>
      </c>
      <c r="Y8" s="35">
        <f>IF(C8="","",IF(AND(13&gt;=1,13&lt;=13),1,""))</f>
        <v/>
      </c>
    </row>
    <row r="9" ht="22" customHeight="1">
      <c r="B9" s="32" t="inlineStr">
        <is>
          <t>UE1</t>
        </is>
      </c>
      <c r="C9" s="33" t="inlineStr">
        <is>
          <t>Droit des sociétés — opérations</t>
        </is>
      </c>
      <c r="D9" s="32" t="inlineStr">
        <is>
          <t>Cours</t>
        </is>
      </c>
      <c r="E9" s="32" t="inlineStr">
        <is>
          <t>Haute</t>
        </is>
      </c>
      <c r="F9" s="32" t="inlineStr">
        <is>
          <t>Non commencé</t>
        </is>
      </c>
      <c r="G9" s="34" t="n"/>
      <c r="H9" s="25">
        <f>IF(C9="","",IF(G9="","",G9+Paramètres!$C$8))</f>
        <v/>
      </c>
      <c r="I9" s="32" t="n">
        <v>0</v>
      </c>
      <c r="J9" s="11">
        <f>IF(C9="","",IF(AND(F9&lt;&gt;"Acquis",H9&lt;&gt;"",H9&lt;TODAY()),"À reprendre",IF(F9="À consolider","À consolider",IF(AND(F9="Non commencé",TODAY()&gt;=EDATE(Paramètres!$C$5,1),TODAY()&lt;EDATE(Paramètres!$C$5,3)),"Période en cours","OK"))))</f>
        <v/>
      </c>
      <c r="K9" s="32" t="inlineStr">
        <is>
          <t>Pas vu</t>
        </is>
      </c>
      <c r="L9" s="33" t="n"/>
      <c r="M9" s="35">
        <f>IF(C9="","",IF(AND(1&gt;=2,1&lt;=3),1,""))</f>
        <v/>
      </c>
      <c r="N9" s="35">
        <f>IF(C9="","",IF(AND(2&gt;=2,2&lt;=3),1,""))</f>
        <v/>
      </c>
      <c r="O9" s="35">
        <f>IF(C9="","",IF(AND(3&gt;=2,3&lt;=3),1,""))</f>
        <v/>
      </c>
      <c r="P9" s="35">
        <f>IF(C9="","",IF(AND(4&gt;=2,4&lt;=3),1,""))</f>
        <v/>
      </c>
      <c r="Q9" s="35">
        <f>IF(C9="","",IF(AND(5&gt;=2,5&lt;=3),1,""))</f>
        <v/>
      </c>
      <c r="R9" s="35">
        <f>IF(C9="","",IF(AND(6&gt;=2,6&lt;=3),1,""))</f>
        <v/>
      </c>
      <c r="S9" s="35">
        <f>IF(C9="","",IF(AND(7&gt;=2,7&lt;=3),1,""))</f>
        <v/>
      </c>
      <c r="T9" s="35">
        <f>IF(C9="","",IF(AND(8&gt;=2,8&lt;=3),1,""))</f>
        <v/>
      </c>
      <c r="U9" s="35">
        <f>IF(C9="","",IF(AND(9&gt;=2,9&lt;=3),1,""))</f>
        <v/>
      </c>
      <c r="V9" s="35">
        <f>IF(C9="","",IF(AND(10&gt;=2,10&lt;=3),1,""))</f>
        <v/>
      </c>
      <c r="W9" s="35">
        <f>IF(C9="","",IF(AND(11&gt;=2,11&lt;=3),1,""))</f>
        <v/>
      </c>
      <c r="X9" s="35">
        <f>IF(C9="","",IF(AND(12&gt;=2,12&lt;=3),1,""))</f>
        <v/>
      </c>
      <c r="Y9" s="35">
        <f>IF(C9="","",IF(AND(13&gt;=2,13&lt;=3),1,""))</f>
        <v/>
      </c>
    </row>
    <row r="10" ht="22" customHeight="1">
      <c r="B10" s="32" t="inlineStr">
        <is>
          <t>UE2</t>
        </is>
      </c>
      <c r="C10" s="33" t="inlineStr">
        <is>
          <t>Tableaux de flux &amp; ratios</t>
        </is>
      </c>
      <c r="D10" s="32" t="inlineStr">
        <is>
          <t>Exercices</t>
        </is>
      </c>
      <c r="E10" s="32" t="inlineStr">
        <is>
          <t>Haute</t>
        </is>
      </c>
      <c r="F10" s="32" t="inlineStr">
        <is>
          <t>Non commencé</t>
        </is>
      </c>
      <c r="G10" s="34" t="n"/>
      <c r="H10" s="25">
        <f>IF(C10="","",IF(G10="","",G10+Paramètres!$C$8))</f>
        <v/>
      </c>
      <c r="I10" s="32" t="n">
        <v>0</v>
      </c>
      <c r="J10" s="11">
        <f>IF(C10="","",IF(AND(F10&lt;&gt;"Acquis",H10&lt;&gt;"",H10&lt;TODAY()),"À reprendre",IF(F10="À consolider","À consolider",IF(AND(F10="Non commencé",TODAY()&gt;=EDATE(Paramètres!$C$5,1),TODAY()&lt;EDATE(Paramètres!$C$5,3)),"Période en cours","OK"))))</f>
        <v/>
      </c>
      <c r="K10" s="32" t="inlineStr">
        <is>
          <t>Pas vu</t>
        </is>
      </c>
      <c r="L10" s="33" t="n"/>
      <c r="M10" s="35">
        <f>IF(C10="","",IF(AND(1&gt;=2,1&lt;=3),1,""))</f>
        <v/>
      </c>
      <c r="N10" s="35">
        <f>IF(C10="","",IF(AND(2&gt;=2,2&lt;=3),1,""))</f>
        <v/>
      </c>
      <c r="O10" s="35">
        <f>IF(C10="","",IF(AND(3&gt;=2,3&lt;=3),1,""))</f>
        <v/>
      </c>
      <c r="P10" s="35">
        <f>IF(C10="","",IF(AND(4&gt;=2,4&lt;=3),1,""))</f>
        <v/>
      </c>
      <c r="Q10" s="35">
        <f>IF(C10="","",IF(AND(5&gt;=2,5&lt;=3),1,""))</f>
        <v/>
      </c>
      <c r="R10" s="35">
        <f>IF(C10="","",IF(AND(6&gt;=2,6&lt;=3),1,""))</f>
        <v/>
      </c>
      <c r="S10" s="35">
        <f>IF(C10="","",IF(AND(7&gt;=2,7&lt;=3),1,""))</f>
        <v/>
      </c>
      <c r="T10" s="35">
        <f>IF(C10="","",IF(AND(8&gt;=2,8&lt;=3),1,""))</f>
        <v/>
      </c>
      <c r="U10" s="35">
        <f>IF(C10="","",IF(AND(9&gt;=2,9&lt;=3),1,""))</f>
        <v/>
      </c>
      <c r="V10" s="35">
        <f>IF(C10="","",IF(AND(10&gt;=2,10&lt;=3),1,""))</f>
        <v/>
      </c>
      <c r="W10" s="35">
        <f>IF(C10="","",IF(AND(11&gt;=2,11&lt;=3),1,""))</f>
        <v/>
      </c>
      <c r="X10" s="35">
        <f>IF(C10="","",IF(AND(12&gt;=2,12&lt;=3),1,""))</f>
        <v/>
      </c>
      <c r="Y10" s="35">
        <f>IF(C10="","",IF(AND(13&gt;=2,13&lt;=3),1,""))</f>
        <v/>
      </c>
    </row>
    <row r="11" ht="22" customHeight="1">
      <c r="B11" s="32" t="inlineStr">
        <is>
          <t>TRANSVERSE</t>
        </is>
      </c>
      <c r="C11" s="33" t="inlineStr">
        <is>
          <t>Bilan T1 — ce que je maîtrise vraiment</t>
        </is>
      </c>
      <c r="D11" s="32" t="inlineStr">
        <is>
          <t>Mixte</t>
        </is>
      </c>
      <c r="E11" s="32" t="inlineStr">
        <is>
          <t>Haute</t>
        </is>
      </c>
      <c r="F11" s="32" t="inlineStr">
        <is>
          <t>Non commencé</t>
        </is>
      </c>
      <c r="G11" s="34" t="n"/>
      <c r="H11" s="25">
        <f>IF(C11="","",IF(G11="","",G11+Paramètres!$C$8))</f>
        <v/>
      </c>
      <c r="I11" s="32" t="n">
        <v>0</v>
      </c>
      <c r="J11" s="11">
        <f>IF(C11="","",IF(AND(F11&lt;&gt;"Acquis",H11&lt;&gt;"",H11&lt;TODAY()),"À reprendre",IF(F11="À consolider","À consolider",IF(AND(F11="Non commencé",TODAY()&gt;=EDATE(Paramètres!$C$5,2),TODAY()&lt;EDATE(Paramètres!$C$5,3)),"Période en cours","OK"))))</f>
        <v/>
      </c>
      <c r="K11" s="32" t="inlineStr">
        <is>
          <t>Pas vu</t>
        </is>
      </c>
      <c r="L11" s="33" t="n"/>
      <c r="M11" s="35">
        <f>IF(C11="","",IF(AND(1&gt;=3,1&lt;=3),1,""))</f>
        <v/>
      </c>
      <c r="N11" s="35">
        <f>IF(C11="","",IF(AND(2&gt;=3,2&lt;=3),1,""))</f>
        <v/>
      </c>
      <c r="O11" s="35">
        <f>IF(C11="","",IF(AND(3&gt;=3,3&lt;=3),1,""))</f>
        <v/>
      </c>
      <c r="P11" s="35">
        <f>IF(C11="","",IF(AND(4&gt;=3,4&lt;=3),1,""))</f>
        <v/>
      </c>
      <c r="Q11" s="35">
        <f>IF(C11="","",IF(AND(5&gt;=3,5&lt;=3),1,""))</f>
        <v/>
      </c>
      <c r="R11" s="35">
        <f>IF(C11="","",IF(AND(6&gt;=3,6&lt;=3),1,""))</f>
        <v/>
      </c>
      <c r="S11" s="35">
        <f>IF(C11="","",IF(AND(7&gt;=3,7&lt;=3),1,""))</f>
        <v/>
      </c>
      <c r="T11" s="35">
        <f>IF(C11="","",IF(AND(8&gt;=3,8&lt;=3),1,""))</f>
        <v/>
      </c>
      <c r="U11" s="35">
        <f>IF(C11="","",IF(AND(9&gt;=3,9&lt;=3),1,""))</f>
        <v/>
      </c>
      <c r="V11" s="35">
        <f>IF(C11="","",IF(AND(10&gt;=3,10&lt;=3),1,""))</f>
        <v/>
      </c>
      <c r="W11" s="35">
        <f>IF(C11="","",IF(AND(11&gt;=3,11&lt;=3),1,""))</f>
        <v/>
      </c>
      <c r="X11" s="35">
        <f>IF(C11="","",IF(AND(12&gt;=3,12&lt;=3),1,""))</f>
        <v/>
      </c>
      <c r="Y11" s="35">
        <f>IF(C11="","",IF(AND(13&gt;=3,13&lt;=3),1,""))</f>
        <v/>
      </c>
    </row>
    <row r="12" ht="22" customHeight="1">
      <c r="B12" s="32" t="inlineStr">
        <is>
          <t>UE1</t>
        </is>
      </c>
      <c r="C12" s="33" t="inlineStr">
        <is>
          <t>Fiscalité — IS &amp; intégration</t>
        </is>
      </c>
      <c r="D12" s="32" t="inlineStr">
        <is>
          <t>Cours</t>
        </is>
      </c>
      <c r="E12" s="32" t="inlineStr">
        <is>
          <t>Haute</t>
        </is>
      </c>
      <c r="F12" s="32" t="inlineStr">
        <is>
          <t>Non commencé</t>
        </is>
      </c>
      <c r="G12" s="34" t="n"/>
      <c r="H12" s="25">
        <f>IF(C12="","",IF(G12="","",G12+Paramètres!$C$8))</f>
        <v/>
      </c>
      <c r="I12" s="32" t="n">
        <v>0</v>
      </c>
      <c r="J12" s="11">
        <f>IF(C12="","",IF(AND(F12&lt;&gt;"Acquis",H12&lt;&gt;"",H12&lt;TODAY()),"À reprendre",IF(F12="À consolider","À consolider",IF(AND(F12="Non commencé",TODAY()&gt;=EDATE(Paramètres!$C$5,3),TODAY()&lt;EDATE(Paramètres!$C$5,5)),"Période en cours","OK"))))</f>
        <v/>
      </c>
      <c r="K12" s="32" t="inlineStr">
        <is>
          <t>Pas vu</t>
        </is>
      </c>
      <c r="L12" s="33" t="n"/>
      <c r="M12" s="35">
        <f>IF(C12="","",IF(AND(1&gt;=4,1&lt;=5),1,""))</f>
        <v/>
      </c>
      <c r="N12" s="35">
        <f>IF(C12="","",IF(AND(2&gt;=4,2&lt;=5),1,""))</f>
        <v/>
      </c>
      <c r="O12" s="35">
        <f>IF(C12="","",IF(AND(3&gt;=4,3&lt;=5),1,""))</f>
        <v/>
      </c>
      <c r="P12" s="35">
        <f>IF(C12="","",IF(AND(4&gt;=4,4&lt;=5),1,""))</f>
        <v/>
      </c>
      <c r="Q12" s="35">
        <f>IF(C12="","",IF(AND(5&gt;=4,5&lt;=5),1,""))</f>
        <v/>
      </c>
      <c r="R12" s="35">
        <f>IF(C12="","",IF(AND(6&gt;=4,6&lt;=5),1,""))</f>
        <v/>
      </c>
      <c r="S12" s="35">
        <f>IF(C12="","",IF(AND(7&gt;=4,7&lt;=5),1,""))</f>
        <v/>
      </c>
      <c r="T12" s="35">
        <f>IF(C12="","",IF(AND(8&gt;=4,8&lt;=5),1,""))</f>
        <v/>
      </c>
      <c r="U12" s="35">
        <f>IF(C12="","",IF(AND(9&gt;=4,9&lt;=5),1,""))</f>
        <v/>
      </c>
      <c r="V12" s="35">
        <f>IF(C12="","",IF(AND(10&gt;=4,10&lt;=5),1,""))</f>
        <v/>
      </c>
      <c r="W12" s="35">
        <f>IF(C12="","",IF(AND(11&gt;=4,11&lt;=5),1,""))</f>
        <v/>
      </c>
      <c r="X12" s="35">
        <f>IF(C12="","",IF(AND(12&gt;=4,12&lt;=5),1,""))</f>
        <v/>
      </c>
      <c r="Y12" s="35">
        <f>IF(C12="","",IF(AND(13&gt;=4,13&lt;=5),1,""))</f>
        <v/>
      </c>
    </row>
    <row r="13" ht="22" customHeight="1">
      <c r="B13" s="32" t="inlineStr">
        <is>
          <t>UE4</t>
        </is>
      </c>
      <c r="C13" s="33" t="inlineStr">
        <is>
          <t>Consolidation — écarts &amp; variations</t>
        </is>
      </c>
      <c r="D13" s="32" t="inlineStr">
        <is>
          <t>Exercices</t>
        </is>
      </c>
      <c r="E13" s="32" t="inlineStr">
        <is>
          <t>Haute</t>
        </is>
      </c>
      <c r="F13" s="32" t="inlineStr">
        <is>
          <t>Non commencé</t>
        </is>
      </c>
      <c r="G13" s="34" t="n"/>
      <c r="H13" s="25">
        <f>IF(C13="","",IF(G13="","",G13+Paramètres!$C$8))</f>
        <v/>
      </c>
      <c r="I13" s="32" t="n">
        <v>0</v>
      </c>
      <c r="J13" s="11">
        <f>IF(C13="","",IF(AND(F13&lt;&gt;"Acquis",H13&lt;&gt;"",H13&lt;TODAY()),"À reprendre",IF(F13="À consolider","À consolider",IF(AND(F13="Non commencé",TODAY()&gt;=EDATE(Paramètres!$C$5,3),TODAY()&lt;EDATE(Paramètres!$C$5,5)),"Période en cours","OK"))))</f>
        <v/>
      </c>
      <c r="K13" s="32" t="inlineStr">
        <is>
          <t>Pas vu</t>
        </is>
      </c>
      <c r="L13" s="33" t="n"/>
      <c r="M13" s="35">
        <f>IF(C13="","",IF(AND(1&gt;=4,1&lt;=5),1,""))</f>
        <v/>
      </c>
      <c r="N13" s="35">
        <f>IF(C13="","",IF(AND(2&gt;=4,2&lt;=5),1,""))</f>
        <v/>
      </c>
      <c r="O13" s="35">
        <f>IF(C13="","",IF(AND(3&gt;=4,3&lt;=5),1,""))</f>
        <v/>
      </c>
      <c r="P13" s="35">
        <f>IF(C13="","",IF(AND(4&gt;=4,4&lt;=5),1,""))</f>
        <v/>
      </c>
      <c r="Q13" s="35">
        <f>IF(C13="","",IF(AND(5&gt;=4,5&lt;=5),1,""))</f>
        <v/>
      </c>
      <c r="R13" s="35">
        <f>IF(C13="","",IF(AND(6&gt;=4,6&lt;=5),1,""))</f>
        <v/>
      </c>
      <c r="S13" s="35">
        <f>IF(C13="","",IF(AND(7&gt;=4,7&lt;=5),1,""))</f>
        <v/>
      </c>
      <c r="T13" s="35">
        <f>IF(C13="","",IF(AND(8&gt;=4,8&lt;=5),1,""))</f>
        <v/>
      </c>
      <c r="U13" s="35">
        <f>IF(C13="","",IF(AND(9&gt;=4,9&lt;=5),1,""))</f>
        <v/>
      </c>
      <c r="V13" s="35">
        <f>IF(C13="","",IF(AND(10&gt;=4,10&lt;=5),1,""))</f>
        <v/>
      </c>
      <c r="W13" s="35">
        <f>IF(C13="","",IF(AND(11&gt;=4,11&lt;=5),1,""))</f>
        <v/>
      </c>
      <c r="X13" s="35">
        <f>IF(C13="","",IF(AND(12&gt;=4,12&lt;=5),1,""))</f>
        <v/>
      </c>
      <c r="Y13" s="35">
        <f>IF(C13="","",IF(AND(13&gt;=4,13&lt;=5),1,""))</f>
        <v/>
      </c>
    </row>
    <row r="14" ht="22" customHeight="1">
      <c r="B14" s="32" t="inlineStr">
        <is>
          <t>UE3</t>
        </is>
      </c>
      <c r="C14" s="33" t="inlineStr">
        <is>
          <t>Pilotage stratégique &amp; BSC</t>
        </is>
      </c>
      <c r="D14" s="32" t="inlineStr">
        <is>
          <t>Cours</t>
        </is>
      </c>
      <c r="E14" s="32" t="inlineStr">
        <is>
          <t>Moyenne</t>
        </is>
      </c>
      <c r="F14" s="32" t="inlineStr">
        <is>
          <t>Non commencé</t>
        </is>
      </c>
      <c r="G14" s="34" t="n"/>
      <c r="H14" s="25">
        <f>IF(C14="","",IF(G14="","",G14+Paramètres!$C$8))</f>
        <v/>
      </c>
      <c r="I14" s="32" t="n">
        <v>0</v>
      </c>
      <c r="J14" s="11">
        <f>IF(C14="","",IF(AND(F14&lt;&gt;"Acquis",H14&lt;&gt;"",H14&lt;TODAY()),"À reprendre",IF(F14="À consolider","À consolider",IF(AND(F14="Non commencé",TODAY()&gt;=EDATE(Paramètres!$C$5,3),TODAY()&lt;EDATE(Paramètres!$C$5,5)),"Période en cours","OK"))))</f>
        <v/>
      </c>
      <c r="K14" s="32" t="inlineStr">
        <is>
          <t>Pas vu</t>
        </is>
      </c>
      <c r="L14" s="33" t="n"/>
      <c r="M14" s="35">
        <f>IF(C14="","",IF(AND(1&gt;=4,1&lt;=5),1,""))</f>
        <v/>
      </c>
      <c r="N14" s="35">
        <f>IF(C14="","",IF(AND(2&gt;=4,2&lt;=5),1,""))</f>
        <v/>
      </c>
      <c r="O14" s="35">
        <f>IF(C14="","",IF(AND(3&gt;=4,3&lt;=5),1,""))</f>
        <v/>
      </c>
      <c r="P14" s="35">
        <f>IF(C14="","",IF(AND(4&gt;=4,4&lt;=5),1,""))</f>
        <v/>
      </c>
      <c r="Q14" s="35">
        <f>IF(C14="","",IF(AND(5&gt;=4,5&lt;=5),1,""))</f>
        <v/>
      </c>
      <c r="R14" s="35">
        <f>IF(C14="","",IF(AND(6&gt;=4,6&lt;=5),1,""))</f>
        <v/>
      </c>
      <c r="S14" s="35">
        <f>IF(C14="","",IF(AND(7&gt;=4,7&lt;=5),1,""))</f>
        <v/>
      </c>
      <c r="T14" s="35">
        <f>IF(C14="","",IF(AND(8&gt;=4,8&lt;=5),1,""))</f>
        <v/>
      </c>
      <c r="U14" s="35">
        <f>IF(C14="","",IF(AND(9&gt;=4,9&lt;=5),1,""))</f>
        <v/>
      </c>
      <c r="V14" s="35">
        <f>IF(C14="","",IF(AND(10&gt;=4,10&lt;=5),1,""))</f>
        <v/>
      </c>
      <c r="W14" s="35">
        <f>IF(C14="","",IF(AND(11&gt;=4,11&lt;=5),1,""))</f>
        <v/>
      </c>
      <c r="X14" s="35">
        <f>IF(C14="","",IF(AND(12&gt;=4,12&lt;=5),1,""))</f>
        <v/>
      </c>
      <c r="Y14" s="35">
        <f>IF(C14="","",IF(AND(13&gt;=4,13&lt;=5),1,""))</f>
        <v/>
      </c>
    </row>
    <row r="15" ht="22" customHeight="1">
      <c r="B15" s="32" t="inlineStr">
        <is>
          <t>UE2</t>
        </is>
      </c>
      <c r="C15" s="33" t="inlineStr">
        <is>
          <t>Évaluation d'entreprise</t>
        </is>
      </c>
      <c r="D15" s="32" t="inlineStr">
        <is>
          <t>Cours</t>
        </is>
      </c>
      <c r="E15" s="32" t="inlineStr">
        <is>
          <t>Haute</t>
        </is>
      </c>
      <c r="F15" s="32" t="inlineStr">
        <is>
          <t>Non commencé</t>
        </is>
      </c>
      <c r="G15" s="34" t="n"/>
      <c r="H15" s="25">
        <f>IF(C15="","",IF(G15="","",G15+Paramètres!$C$8))</f>
        <v/>
      </c>
      <c r="I15" s="32" t="n">
        <v>0</v>
      </c>
      <c r="J15" s="11">
        <f>IF(C15="","",IF(AND(F15&lt;&gt;"Acquis",H15&lt;&gt;"",H15&lt;TODAY()),"À reprendre",IF(F15="À consolider","À consolider",IF(AND(F15="Non commencé",TODAY()&gt;=EDATE(Paramètres!$C$5,4),TODAY()&lt;EDATE(Paramètres!$C$5,6)),"Période en cours","OK"))))</f>
        <v/>
      </c>
      <c r="K15" s="32" t="inlineStr">
        <is>
          <t>Pas vu</t>
        </is>
      </c>
      <c r="L15" s="33" t="n"/>
      <c r="M15" s="35">
        <f>IF(C15="","",IF(AND(1&gt;=5,1&lt;=6),1,""))</f>
        <v/>
      </c>
      <c r="N15" s="35">
        <f>IF(C15="","",IF(AND(2&gt;=5,2&lt;=6),1,""))</f>
        <v/>
      </c>
      <c r="O15" s="35">
        <f>IF(C15="","",IF(AND(3&gt;=5,3&lt;=6),1,""))</f>
        <v/>
      </c>
      <c r="P15" s="35">
        <f>IF(C15="","",IF(AND(4&gt;=5,4&lt;=6),1,""))</f>
        <v/>
      </c>
      <c r="Q15" s="35">
        <f>IF(C15="","",IF(AND(5&gt;=5,5&lt;=6),1,""))</f>
        <v/>
      </c>
      <c r="R15" s="35">
        <f>IF(C15="","",IF(AND(6&gt;=5,6&lt;=6),1,""))</f>
        <v/>
      </c>
      <c r="S15" s="35">
        <f>IF(C15="","",IF(AND(7&gt;=5,7&lt;=6),1,""))</f>
        <v/>
      </c>
      <c r="T15" s="35">
        <f>IF(C15="","",IF(AND(8&gt;=5,8&lt;=6),1,""))</f>
        <v/>
      </c>
      <c r="U15" s="35">
        <f>IF(C15="","",IF(AND(9&gt;=5,9&lt;=6),1,""))</f>
        <v/>
      </c>
      <c r="V15" s="35">
        <f>IF(C15="","",IF(AND(10&gt;=5,10&lt;=6),1,""))</f>
        <v/>
      </c>
      <c r="W15" s="35">
        <f>IF(C15="","",IF(AND(11&gt;=5,11&lt;=6),1,""))</f>
        <v/>
      </c>
      <c r="X15" s="35">
        <f>IF(C15="","",IF(AND(12&gt;=5,12&lt;=6),1,""))</f>
        <v/>
      </c>
      <c r="Y15" s="35">
        <f>IF(C15="","",IF(AND(13&gt;=5,13&lt;=6),1,""))</f>
        <v/>
      </c>
    </row>
    <row r="16" ht="22" customHeight="1">
      <c r="B16" s="32" t="inlineStr">
        <is>
          <t>UE1</t>
        </is>
      </c>
      <c r="C16" s="33" t="inlineStr">
        <is>
          <t>Fiscalité — TVA</t>
        </is>
      </c>
      <c r="D16" s="32" t="inlineStr">
        <is>
          <t>Exercices</t>
        </is>
      </c>
      <c r="E16" s="32" t="inlineStr">
        <is>
          <t>Moyenne</t>
        </is>
      </c>
      <c r="F16" s="32" t="inlineStr">
        <is>
          <t>Non commencé</t>
        </is>
      </c>
      <c r="G16" s="34" t="n"/>
      <c r="H16" s="25">
        <f>IF(C16="","",IF(G16="","",G16+Paramètres!$C$8))</f>
        <v/>
      </c>
      <c r="I16" s="32" t="n">
        <v>0</v>
      </c>
      <c r="J16" s="11">
        <f>IF(C16="","",IF(AND(F16&lt;&gt;"Acquis",H16&lt;&gt;"",H16&lt;TODAY()),"À reprendre",IF(F16="À consolider","À consolider",IF(AND(F16="Non commencé",TODAY()&gt;=EDATE(Paramètres!$C$5,4),TODAY()&lt;EDATE(Paramètres!$C$5,6)),"Période en cours","OK"))))</f>
        <v/>
      </c>
      <c r="K16" s="32" t="inlineStr">
        <is>
          <t>Pas vu</t>
        </is>
      </c>
      <c r="L16" s="33" t="n"/>
      <c r="M16" s="35">
        <f>IF(C16="","",IF(AND(1&gt;=5,1&lt;=6),1,""))</f>
        <v/>
      </c>
      <c r="N16" s="35">
        <f>IF(C16="","",IF(AND(2&gt;=5,2&lt;=6),1,""))</f>
        <v/>
      </c>
      <c r="O16" s="35">
        <f>IF(C16="","",IF(AND(3&gt;=5,3&lt;=6),1,""))</f>
        <v/>
      </c>
      <c r="P16" s="35">
        <f>IF(C16="","",IF(AND(4&gt;=5,4&lt;=6),1,""))</f>
        <v/>
      </c>
      <c r="Q16" s="35">
        <f>IF(C16="","",IF(AND(5&gt;=5,5&lt;=6),1,""))</f>
        <v/>
      </c>
      <c r="R16" s="35">
        <f>IF(C16="","",IF(AND(6&gt;=5,6&lt;=6),1,""))</f>
        <v/>
      </c>
      <c r="S16" s="35">
        <f>IF(C16="","",IF(AND(7&gt;=5,7&lt;=6),1,""))</f>
        <v/>
      </c>
      <c r="T16" s="35">
        <f>IF(C16="","",IF(AND(8&gt;=5,8&lt;=6),1,""))</f>
        <v/>
      </c>
      <c r="U16" s="35">
        <f>IF(C16="","",IF(AND(9&gt;=5,9&lt;=6),1,""))</f>
        <v/>
      </c>
      <c r="V16" s="35">
        <f>IF(C16="","",IF(AND(10&gt;=5,10&lt;=6),1,""))</f>
        <v/>
      </c>
      <c r="W16" s="35">
        <f>IF(C16="","",IF(AND(11&gt;=5,11&lt;=6),1,""))</f>
        <v/>
      </c>
      <c r="X16" s="35">
        <f>IF(C16="","",IF(AND(12&gt;=5,12&lt;=6),1,""))</f>
        <v/>
      </c>
      <c r="Y16" s="35">
        <f>IF(C16="","",IF(AND(13&gt;=5,13&lt;=6),1,""))</f>
        <v/>
      </c>
    </row>
    <row r="17" ht="22" customHeight="1">
      <c r="B17" s="32" t="inlineStr">
        <is>
          <t>UE4</t>
        </is>
      </c>
      <c r="C17" s="33" t="inlineStr">
        <is>
          <t>IFRS — immobilisations</t>
        </is>
      </c>
      <c r="D17" s="32" t="inlineStr">
        <is>
          <t>Cours</t>
        </is>
      </c>
      <c r="E17" s="32" t="inlineStr">
        <is>
          <t>Haute</t>
        </is>
      </c>
      <c r="F17" s="32" t="inlineStr">
        <is>
          <t>Non commencé</t>
        </is>
      </c>
      <c r="G17" s="34" t="n"/>
      <c r="H17" s="25">
        <f>IF(C17="","",IF(G17="","",G17+Paramètres!$C$8))</f>
        <v/>
      </c>
      <c r="I17" s="32" t="n">
        <v>0</v>
      </c>
      <c r="J17" s="11">
        <f>IF(C17="","",IF(AND(F17&lt;&gt;"Acquis",H17&lt;&gt;"",H17&lt;TODAY()),"À reprendre",IF(F17="À consolider","À consolider",IF(AND(F17="Non commencé",TODAY()&gt;=EDATE(Paramètres!$C$5,4),TODAY()&lt;EDATE(Paramètres!$C$5,6)),"Période en cours","OK"))))</f>
        <v/>
      </c>
      <c r="K17" s="32" t="inlineStr">
        <is>
          <t>Pas vu</t>
        </is>
      </c>
      <c r="L17" s="33" t="n"/>
      <c r="M17" s="35">
        <f>IF(C17="","",IF(AND(1&gt;=5,1&lt;=6),1,""))</f>
        <v/>
      </c>
      <c r="N17" s="35">
        <f>IF(C17="","",IF(AND(2&gt;=5,2&lt;=6),1,""))</f>
        <v/>
      </c>
      <c r="O17" s="35">
        <f>IF(C17="","",IF(AND(3&gt;=5,3&lt;=6),1,""))</f>
        <v/>
      </c>
      <c r="P17" s="35">
        <f>IF(C17="","",IF(AND(4&gt;=5,4&lt;=6),1,""))</f>
        <v/>
      </c>
      <c r="Q17" s="35">
        <f>IF(C17="","",IF(AND(5&gt;=5,5&lt;=6),1,""))</f>
        <v/>
      </c>
      <c r="R17" s="35">
        <f>IF(C17="","",IF(AND(6&gt;=5,6&lt;=6),1,""))</f>
        <v/>
      </c>
      <c r="S17" s="35">
        <f>IF(C17="","",IF(AND(7&gt;=5,7&lt;=6),1,""))</f>
        <v/>
      </c>
      <c r="T17" s="35">
        <f>IF(C17="","",IF(AND(8&gt;=5,8&lt;=6),1,""))</f>
        <v/>
      </c>
      <c r="U17" s="35">
        <f>IF(C17="","",IF(AND(9&gt;=5,9&lt;=6),1,""))</f>
        <v/>
      </c>
      <c r="V17" s="35">
        <f>IF(C17="","",IF(AND(10&gt;=5,10&lt;=6),1,""))</f>
        <v/>
      </c>
      <c r="W17" s="35">
        <f>IF(C17="","",IF(AND(11&gt;=5,11&lt;=6),1,""))</f>
        <v/>
      </c>
      <c r="X17" s="35">
        <f>IF(C17="","",IF(AND(12&gt;=5,12&lt;=6),1,""))</f>
        <v/>
      </c>
      <c r="Y17" s="35">
        <f>IF(C17="","",IF(AND(13&gt;=5,13&lt;=6),1,""))</f>
        <v/>
      </c>
    </row>
    <row r="18" ht="22" customHeight="1">
      <c r="B18" s="32" t="inlineStr">
        <is>
          <t>UE1</t>
        </is>
      </c>
      <c r="C18" s="33" t="inlineStr">
        <is>
          <t>Reprise T1 — sociétés (2e passage)</t>
        </is>
      </c>
      <c r="D18" s="32" t="inlineStr">
        <is>
          <t>Relecture</t>
        </is>
      </c>
      <c r="E18" s="32" t="inlineStr">
        <is>
          <t>Haute</t>
        </is>
      </c>
      <c r="F18" s="32" t="inlineStr">
        <is>
          <t>Non commencé</t>
        </is>
      </c>
      <c r="G18" s="34" t="n"/>
      <c r="H18" s="25">
        <f>IF(C18="","",IF(G18="","",G18+Paramètres!$C$8))</f>
        <v/>
      </c>
      <c r="I18" s="32" t="n">
        <v>0</v>
      </c>
      <c r="J18" s="11">
        <f>IF(C18="","",IF(AND(F18&lt;&gt;"Acquis",H18&lt;&gt;"",H18&lt;TODAY()),"À reprendre",IF(F18="À consolider","À consolider",IF(AND(F18="Non commencé",TODAY()&gt;=EDATE(Paramètres!$C$5,4),TODAY()&lt;EDATE(Paramètres!$C$5,6)),"Période en cours","OK"))))</f>
        <v/>
      </c>
      <c r="K18" s="32" t="inlineStr">
        <is>
          <t>Pas vu</t>
        </is>
      </c>
      <c r="L18" s="33" t="n"/>
      <c r="M18" s="35">
        <f>IF(C18="","",IF(AND(1&gt;=5,1&lt;=6),1,""))</f>
        <v/>
      </c>
      <c r="N18" s="35">
        <f>IF(C18="","",IF(AND(2&gt;=5,2&lt;=6),1,""))</f>
        <v/>
      </c>
      <c r="O18" s="35">
        <f>IF(C18="","",IF(AND(3&gt;=5,3&lt;=6),1,""))</f>
        <v/>
      </c>
      <c r="P18" s="35">
        <f>IF(C18="","",IF(AND(4&gt;=5,4&lt;=6),1,""))</f>
        <v/>
      </c>
      <c r="Q18" s="35">
        <f>IF(C18="","",IF(AND(5&gt;=5,5&lt;=6),1,""))</f>
        <v/>
      </c>
      <c r="R18" s="35">
        <f>IF(C18="","",IF(AND(6&gt;=5,6&lt;=6),1,""))</f>
        <v/>
      </c>
      <c r="S18" s="35">
        <f>IF(C18="","",IF(AND(7&gt;=5,7&lt;=6),1,""))</f>
        <v/>
      </c>
      <c r="T18" s="35">
        <f>IF(C18="","",IF(AND(8&gt;=5,8&lt;=6),1,""))</f>
        <v/>
      </c>
      <c r="U18" s="35">
        <f>IF(C18="","",IF(AND(9&gt;=5,9&lt;=6),1,""))</f>
        <v/>
      </c>
      <c r="V18" s="35">
        <f>IF(C18="","",IF(AND(10&gt;=5,10&lt;=6),1,""))</f>
        <v/>
      </c>
      <c r="W18" s="35">
        <f>IF(C18="","",IF(AND(11&gt;=5,11&lt;=6),1,""))</f>
        <v/>
      </c>
      <c r="X18" s="35">
        <f>IF(C18="","",IF(AND(12&gt;=5,12&lt;=6),1,""))</f>
        <v/>
      </c>
      <c r="Y18" s="35">
        <f>IF(C18="","",IF(AND(13&gt;=5,13&lt;=6),1,""))</f>
        <v/>
      </c>
    </row>
    <row r="19" ht="22" customHeight="1">
      <c r="B19" s="32" t="inlineStr">
        <is>
          <t>UE2</t>
        </is>
      </c>
      <c r="C19" s="33" t="inlineStr">
        <is>
          <t>Reprise T1 — diagnostic (2e passage)</t>
        </is>
      </c>
      <c r="D19" s="32" t="inlineStr">
        <is>
          <t>Relecture</t>
        </is>
      </c>
      <c r="E19" s="32" t="inlineStr">
        <is>
          <t>Haute</t>
        </is>
      </c>
      <c r="F19" s="32" t="inlineStr">
        <is>
          <t>Non commencé</t>
        </is>
      </c>
      <c r="G19" s="34" t="n"/>
      <c r="H19" s="25">
        <f>IF(C19="","",IF(G19="","",G19+Paramètres!$C$8))</f>
        <v/>
      </c>
      <c r="I19" s="32" t="n">
        <v>0</v>
      </c>
      <c r="J19" s="11">
        <f>IF(C19="","",IF(AND(F19&lt;&gt;"Acquis",H19&lt;&gt;"",H19&lt;TODAY()),"À reprendre",IF(F19="À consolider","À consolider",IF(AND(F19="Non commencé",TODAY()&gt;=EDATE(Paramètres!$C$5,4),TODAY()&lt;EDATE(Paramètres!$C$5,6)),"Période en cours","OK"))))</f>
        <v/>
      </c>
      <c r="K19" s="32" t="inlineStr">
        <is>
          <t>Pas vu</t>
        </is>
      </c>
      <c r="L19" s="33" t="n"/>
      <c r="M19" s="35">
        <f>IF(C19="","",IF(AND(1&gt;=5,1&lt;=6),1,""))</f>
        <v/>
      </c>
      <c r="N19" s="35">
        <f>IF(C19="","",IF(AND(2&gt;=5,2&lt;=6),1,""))</f>
        <v/>
      </c>
      <c r="O19" s="35">
        <f>IF(C19="","",IF(AND(3&gt;=5,3&lt;=6),1,""))</f>
        <v/>
      </c>
      <c r="P19" s="35">
        <f>IF(C19="","",IF(AND(4&gt;=5,4&lt;=6),1,""))</f>
        <v/>
      </c>
      <c r="Q19" s="35">
        <f>IF(C19="","",IF(AND(5&gt;=5,5&lt;=6),1,""))</f>
        <v/>
      </c>
      <c r="R19" s="35">
        <f>IF(C19="","",IF(AND(6&gt;=5,6&lt;=6),1,""))</f>
        <v/>
      </c>
      <c r="S19" s="35">
        <f>IF(C19="","",IF(AND(7&gt;=5,7&lt;=6),1,""))</f>
        <v/>
      </c>
      <c r="T19" s="35">
        <f>IF(C19="","",IF(AND(8&gt;=5,8&lt;=6),1,""))</f>
        <v/>
      </c>
      <c r="U19" s="35">
        <f>IF(C19="","",IF(AND(9&gt;=5,9&lt;=6),1,""))</f>
        <v/>
      </c>
      <c r="V19" s="35">
        <f>IF(C19="","",IF(AND(10&gt;=5,10&lt;=6),1,""))</f>
        <v/>
      </c>
      <c r="W19" s="35">
        <f>IF(C19="","",IF(AND(11&gt;=5,11&lt;=6),1,""))</f>
        <v/>
      </c>
      <c r="X19" s="35">
        <f>IF(C19="","",IF(AND(12&gt;=5,12&lt;=6),1,""))</f>
        <v/>
      </c>
      <c r="Y19" s="35">
        <f>IF(C19="","",IF(AND(13&gt;=5,13&lt;=6),1,""))</f>
        <v/>
      </c>
    </row>
    <row r="20" ht="22" customHeight="1">
      <c r="B20" s="32" t="inlineStr">
        <is>
          <t>TRANSVERSE</t>
        </is>
      </c>
      <c r="C20" s="33" t="inlineStr">
        <is>
          <t>Bilan T2 — ce que je maîtrise vraiment</t>
        </is>
      </c>
      <c r="D20" s="32" t="inlineStr">
        <is>
          <t>Mixte</t>
        </is>
      </c>
      <c r="E20" s="32" t="inlineStr">
        <is>
          <t>Haute</t>
        </is>
      </c>
      <c r="F20" s="32" t="inlineStr">
        <is>
          <t>Non commencé</t>
        </is>
      </c>
      <c r="G20" s="34" t="n"/>
      <c r="H20" s="25">
        <f>IF(C20="","",IF(G20="","",G20+Paramètres!$C$8))</f>
        <v/>
      </c>
      <c r="I20" s="32" t="n">
        <v>0</v>
      </c>
      <c r="J20" s="11">
        <f>IF(C20="","",IF(AND(F20&lt;&gt;"Acquis",H20&lt;&gt;"",H20&lt;TODAY()),"À reprendre",IF(F20="À consolider","À consolider",IF(AND(F20="Non commencé",TODAY()&gt;=EDATE(Paramètres!$C$5,5),TODAY()&lt;EDATE(Paramètres!$C$5,6)),"Période en cours","OK"))))</f>
        <v/>
      </c>
      <c r="K20" s="32" t="inlineStr">
        <is>
          <t>Pas vu</t>
        </is>
      </c>
      <c r="L20" s="33" t="n"/>
      <c r="M20" s="35">
        <f>IF(C20="","",IF(AND(1&gt;=6,1&lt;=6),1,""))</f>
        <v/>
      </c>
      <c r="N20" s="35">
        <f>IF(C20="","",IF(AND(2&gt;=6,2&lt;=6),1,""))</f>
        <v/>
      </c>
      <c r="O20" s="35">
        <f>IF(C20="","",IF(AND(3&gt;=6,3&lt;=6),1,""))</f>
        <v/>
      </c>
      <c r="P20" s="35">
        <f>IF(C20="","",IF(AND(4&gt;=6,4&lt;=6),1,""))</f>
        <v/>
      </c>
      <c r="Q20" s="35">
        <f>IF(C20="","",IF(AND(5&gt;=6,5&lt;=6),1,""))</f>
        <v/>
      </c>
      <c r="R20" s="35">
        <f>IF(C20="","",IF(AND(6&gt;=6,6&lt;=6),1,""))</f>
        <v/>
      </c>
      <c r="S20" s="35">
        <f>IF(C20="","",IF(AND(7&gt;=6,7&lt;=6),1,""))</f>
        <v/>
      </c>
      <c r="T20" s="35">
        <f>IF(C20="","",IF(AND(8&gt;=6,8&lt;=6),1,""))</f>
        <v/>
      </c>
      <c r="U20" s="35">
        <f>IF(C20="","",IF(AND(9&gt;=6,9&lt;=6),1,""))</f>
        <v/>
      </c>
      <c r="V20" s="35">
        <f>IF(C20="","",IF(AND(10&gt;=6,10&lt;=6),1,""))</f>
        <v/>
      </c>
      <c r="W20" s="35">
        <f>IF(C20="","",IF(AND(11&gt;=6,11&lt;=6),1,""))</f>
        <v/>
      </c>
      <c r="X20" s="35">
        <f>IF(C20="","",IF(AND(12&gt;=6,12&lt;=6),1,""))</f>
        <v/>
      </c>
      <c r="Y20" s="35">
        <f>IF(C20="","",IF(AND(13&gt;=6,13&lt;=6),1,""))</f>
        <v/>
      </c>
    </row>
    <row r="21" ht="22" customHeight="1">
      <c r="B21" s="32" t="inlineStr">
        <is>
          <t>UE1</t>
        </is>
      </c>
      <c r="C21" s="33" t="inlineStr">
        <is>
          <t>Droit social — contrat &amp; rupture</t>
        </is>
      </c>
      <c r="D21" s="32" t="inlineStr">
        <is>
          <t>Cours</t>
        </is>
      </c>
      <c r="E21" s="32" t="inlineStr">
        <is>
          <t>Haute</t>
        </is>
      </c>
      <c r="F21" s="32" t="inlineStr">
        <is>
          <t>Non commencé</t>
        </is>
      </c>
      <c r="G21" s="34" t="n"/>
      <c r="H21" s="25">
        <f>IF(C21="","",IF(G21="","",G21+Paramètres!$C$8))</f>
        <v/>
      </c>
      <c r="I21" s="32" t="n">
        <v>0</v>
      </c>
      <c r="J21" s="11">
        <f>IF(C21="","",IF(AND(F21&lt;&gt;"Acquis",H21&lt;&gt;"",H21&lt;TODAY()),"À reprendre",IF(F21="À consolider","À consolider",IF(AND(F21="Non commencé",TODAY()&gt;=EDATE(Paramètres!$C$5,6),TODAY()&lt;EDATE(Paramètres!$C$5,8)),"Période en cours","OK"))))</f>
        <v/>
      </c>
      <c r="K21" s="32" t="inlineStr">
        <is>
          <t>Pas vu</t>
        </is>
      </c>
      <c r="L21" s="33" t="n"/>
      <c r="M21" s="35">
        <f>IF(C21="","",IF(AND(1&gt;=7,1&lt;=8),1,""))</f>
        <v/>
      </c>
      <c r="N21" s="35">
        <f>IF(C21="","",IF(AND(2&gt;=7,2&lt;=8),1,""))</f>
        <v/>
      </c>
      <c r="O21" s="35">
        <f>IF(C21="","",IF(AND(3&gt;=7,3&lt;=8),1,""))</f>
        <v/>
      </c>
      <c r="P21" s="35">
        <f>IF(C21="","",IF(AND(4&gt;=7,4&lt;=8),1,""))</f>
        <v/>
      </c>
      <c r="Q21" s="35">
        <f>IF(C21="","",IF(AND(5&gt;=7,5&lt;=8),1,""))</f>
        <v/>
      </c>
      <c r="R21" s="35">
        <f>IF(C21="","",IF(AND(6&gt;=7,6&lt;=8),1,""))</f>
        <v/>
      </c>
      <c r="S21" s="35">
        <f>IF(C21="","",IF(AND(7&gt;=7,7&lt;=8),1,""))</f>
        <v/>
      </c>
      <c r="T21" s="35">
        <f>IF(C21="","",IF(AND(8&gt;=7,8&lt;=8),1,""))</f>
        <v/>
      </c>
      <c r="U21" s="35">
        <f>IF(C21="","",IF(AND(9&gt;=7,9&lt;=8),1,""))</f>
        <v/>
      </c>
      <c r="V21" s="35">
        <f>IF(C21="","",IF(AND(10&gt;=7,10&lt;=8),1,""))</f>
        <v/>
      </c>
      <c r="W21" s="35">
        <f>IF(C21="","",IF(AND(11&gt;=7,11&lt;=8),1,""))</f>
        <v/>
      </c>
      <c r="X21" s="35">
        <f>IF(C21="","",IF(AND(12&gt;=7,12&lt;=8),1,""))</f>
        <v/>
      </c>
      <c r="Y21" s="35">
        <f>IF(C21="","",IF(AND(13&gt;=7,13&lt;=8),1,""))</f>
        <v/>
      </c>
    </row>
    <row r="22" ht="22" customHeight="1">
      <c r="B22" s="32" t="inlineStr">
        <is>
          <t>UE2</t>
        </is>
      </c>
      <c r="C22" s="33" t="inlineStr">
        <is>
          <t>Investissement VAN / TRI</t>
        </is>
      </c>
      <c r="D22" s="32" t="inlineStr">
        <is>
          <t>Exercices</t>
        </is>
      </c>
      <c r="E22" s="32" t="inlineStr">
        <is>
          <t>Haute</t>
        </is>
      </c>
      <c r="F22" s="32" t="inlineStr">
        <is>
          <t>Non commencé</t>
        </is>
      </c>
      <c r="G22" s="34" t="n"/>
      <c r="H22" s="25">
        <f>IF(C22="","",IF(G22="","",G22+Paramètres!$C$8))</f>
        <v/>
      </c>
      <c r="I22" s="32" t="n">
        <v>0</v>
      </c>
      <c r="J22" s="11">
        <f>IF(C22="","",IF(AND(F22&lt;&gt;"Acquis",H22&lt;&gt;"",H22&lt;TODAY()),"À reprendre",IF(F22="À consolider","À consolider",IF(AND(F22="Non commencé",TODAY()&gt;=EDATE(Paramètres!$C$5,6),TODAY()&lt;EDATE(Paramètres!$C$5,8)),"Période en cours","OK"))))</f>
        <v/>
      </c>
      <c r="K22" s="32" t="inlineStr">
        <is>
          <t>Pas vu</t>
        </is>
      </c>
      <c r="L22" s="33" t="n"/>
      <c r="M22" s="35">
        <f>IF(C22="","",IF(AND(1&gt;=7,1&lt;=8),1,""))</f>
        <v/>
      </c>
      <c r="N22" s="35">
        <f>IF(C22="","",IF(AND(2&gt;=7,2&lt;=8),1,""))</f>
        <v/>
      </c>
      <c r="O22" s="35">
        <f>IF(C22="","",IF(AND(3&gt;=7,3&lt;=8),1,""))</f>
        <v/>
      </c>
      <c r="P22" s="35">
        <f>IF(C22="","",IF(AND(4&gt;=7,4&lt;=8),1,""))</f>
        <v/>
      </c>
      <c r="Q22" s="35">
        <f>IF(C22="","",IF(AND(5&gt;=7,5&lt;=8),1,""))</f>
        <v/>
      </c>
      <c r="R22" s="35">
        <f>IF(C22="","",IF(AND(6&gt;=7,6&lt;=8),1,""))</f>
        <v/>
      </c>
      <c r="S22" s="35">
        <f>IF(C22="","",IF(AND(7&gt;=7,7&lt;=8),1,""))</f>
        <v/>
      </c>
      <c r="T22" s="35">
        <f>IF(C22="","",IF(AND(8&gt;=7,8&lt;=8),1,""))</f>
        <v/>
      </c>
      <c r="U22" s="35">
        <f>IF(C22="","",IF(AND(9&gt;=7,9&lt;=8),1,""))</f>
        <v/>
      </c>
      <c r="V22" s="35">
        <f>IF(C22="","",IF(AND(10&gt;=7,10&lt;=8),1,""))</f>
        <v/>
      </c>
      <c r="W22" s="35">
        <f>IF(C22="","",IF(AND(11&gt;=7,11&lt;=8),1,""))</f>
        <v/>
      </c>
      <c r="X22" s="35">
        <f>IF(C22="","",IF(AND(12&gt;=7,12&lt;=8),1,""))</f>
        <v/>
      </c>
      <c r="Y22" s="35">
        <f>IF(C22="","",IF(AND(13&gt;=7,13&lt;=8),1,""))</f>
        <v/>
      </c>
    </row>
    <row r="23" ht="22" customHeight="1">
      <c r="B23" s="32" t="inlineStr">
        <is>
          <t>UE3</t>
        </is>
      </c>
      <c r="C23" s="33" t="inlineStr">
        <is>
          <t>Contrôle de gestion — coûts &amp; budgets</t>
        </is>
      </c>
      <c r="D23" s="32" t="inlineStr">
        <is>
          <t>Exercices</t>
        </is>
      </c>
      <c r="E23" s="32" t="inlineStr">
        <is>
          <t>Haute</t>
        </is>
      </c>
      <c r="F23" s="32" t="inlineStr">
        <is>
          <t>Non commencé</t>
        </is>
      </c>
      <c r="G23" s="34" t="n"/>
      <c r="H23" s="25">
        <f>IF(C23="","",IF(G23="","",G23+Paramètres!$C$8))</f>
        <v/>
      </c>
      <c r="I23" s="32" t="n">
        <v>0</v>
      </c>
      <c r="J23" s="11">
        <f>IF(C23="","",IF(AND(F23&lt;&gt;"Acquis",H23&lt;&gt;"",H23&lt;TODAY()),"À reprendre",IF(F23="À consolider","À consolider",IF(AND(F23="Non commencé",TODAY()&gt;=EDATE(Paramètres!$C$5,6),TODAY()&lt;EDATE(Paramètres!$C$5,8)),"Période en cours","OK"))))</f>
        <v/>
      </c>
      <c r="K23" s="32" t="inlineStr">
        <is>
          <t>Pas vu</t>
        </is>
      </c>
      <c r="L23" s="33" t="n"/>
      <c r="M23" s="35">
        <f>IF(C23="","",IF(AND(1&gt;=7,1&lt;=8),1,""))</f>
        <v/>
      </c>
      <c r="N23" s="35">
        <f>IF(C23="","",IF(AND(2&gt;=7,2&lt;=8),1,""))</f>
        <v/>
      </c>
      <c r="O23" s="35">
        <f>IF(C23="","",IF(AND(3&gt;=7,3&lt;=8),1,""))</f>
        <v/>
      </c>
      <c r="P23" s="35">
        <f>IF(C23="","",IF(AND(4&gt;=7,4&lt;=8),1,""))</f>
        <v/>
      </c>
      <c r="Q23" s="35">
        <f>IF(C23="","",IF(AND(5&gt;=7,5&lt;=8),1,""))</f>
        <v/>
      </c>
      <c r="R23" s="35">
        <f>IF(C23="","",IF(AND(6&gt;=7,6&lt;=8),1,""))</f>
        <v/>
      </c>
      <c r="S23" s="35">
        <f>IF(C23="","",IF(AND(7&gt;=7,7&lt;=8),1,""))</f>
        <v/>
      </c>
      <c r="T23" s="35">
        <f>IF(C23="","",IF(AND(8&gt;=7,8&lt;=8),1,""))</f>
        <v/>
      </c>
      <c r="U23" s="35">
        <f>IF(C23="","",IF(AND(9&gt;=7,9&lt;=8),1,""))</f>
        <v/>
      </c>
      <c r="V23" s="35">
        <f>IF(C23="","",IF(AND(10&gt;=7,10&lt;=8),1,""))</f>
        <v/>
      </c>
      <c r="W23" s="35">
        <f>IF(C23="","",IF(AND(11&gt;=7,11&lt;=8),1,""))</f>
        <v/>
      </c>
      <c r="X23" s="35">
        <f>IF(C23="","",IF(AND(12&gt;=7,12&lt;=8),1,""))</f>
        <v/>
      </c>
      <c r="Y23" s="35">
        <f>IF(C23="","",IF(AND(13&gt;=7,13&lt;=8),1,""))</f>
        <v/>
      </c>
    </row>
    <row r="24" ht="22" customHeight="1">
      <c r="B24" s="32" t="inlineStr">
        <is>
          <t>UE4</t>
        </is>
      </c>
      <c r="C24" s="33" t="inlineStr">
        <is>
          <t>IFRS — instruments &amp; suite</t>
        </is>
      </c>
      <c r="D24" s="32" t="inlineStr">
        <is>
          <t>Cours</t>
        </is>
      </c>
      <c r="E24" s="32" t="inlineStr">
        <is>
          <t>Haute</t>
        </is>
      </c>
      <c r="F24" s="32" t="inlineStr">
        <is>
          <t>Non commencé</t>
        </is>
      </c>
      <c r="G24" s="34" t="n"/>
      <c r="H24" s="25">
        <f>IF(C24="","",IF(G24="","",G24+Paramètres!$C$8))</f>
        <v/>
      </c>
      <c r="I24" s="32" t="n">
        <v>0</v>
      </c>
      <c r="J24" s="11">
        <f>IF(C24="","",IF(AND(F24&lt;&gt;"Acquis",H24&lt;&gt;"",H24&lt;TODAY()),"À reprendre",IF(F24="À consolider","À consolider",IF(AND(F24="Non commencé",TODAY()&gt;=EDATE(Paramètres!$C$5,6),TODAY()&lt;EDATE(Paramètres!$C$5,8)),"Période en cours","OK"))))</f>
        <v/>
      </c>
      <c r="K24" s="32" t="inlineStr">
        <is>
          <t>Pas vu</t>
        </is>
      </c>
      <c r="L24" s="33" t="n"/>
      <c r="M24" s="35">
        <f>IF(C24="","",IF(AND(1&gt;=7,1&lt;=8),1,""))</f>
        <v/>
      </c>
      <c r="N24" s="35">
        <f>IF(C24="","",IF(AND(2&gt;=7,2&lt;=8),1,""))</f>
        <v/>
      </c>
      <c r="O24" s="35">
        <f>IF(C24="","",IF(AND(3&gt;=7,3&lt;=8),1,""))</f>
        <v/>
      </c>
      <c r="P24" s="35">
        <f>IF(C24="","",IF(AND(4&gt;=7,4&lt;=8),1,""))</f>
        <v/>
      </c>
      <c r="Q24" s="35">
        <f>IF(C24="","",IF(AND(5&gt;=7,5&lt;=8),1,""))</f>
        <v/>
      </c>
      <c r="R24" s="35">
        <f>IF(C24="","",IF(AND(6&gt;=7,6&lt;=8),1,""))</f>
        <v/>
      </c>
      <c r="S24" s="35">
        <f>IF(C24="","",IF(AND(7&gt;=7,7&lt;=8),1,""))</f>
        <v/>
      </c>
      <c r="T24" s="35">
        <f>IF(C24="","",IF(AND(8&gt;=7,8&lt;=8),1,""))</f>
        <v/>
      </c>
      <c r="U24" s="35">
        <f>IF(C24="","",IF(AND(9&gt;=7,9&lt;=8),1,""))</f>
        <v/>
      </c>
      <c r="V24" s="35">
        <f>IF(C24="","",IF(AND(10&gt;=7,10&lt;=8),1,""))</f>
        <v/>
      </c>
      <c r="W24" s="35">
        <f>IF(C24="","",IF(AND(11&gt;=7,11&lt;=8),1,""))</f>
        <v/>
      </c>
      <c r="X24" s="35">
        <f>IF(C24="","",IF(AND(12&gt;=7,12&lt;=8),1,""))</f>
        <v/>
      </c>
      <c r="Y24" s="35">
        <f>IF(C24="","",IF(AND(13&gt;=7,13&lt;=8),1,""))</f>
        <v/>
      </c>
    </row>
    <row r="25" ht="22" customHeight="1">
      <c r="B25" s="32" t="inlineStr">
        <is>
          <t>UE5</t>
        </is>
      </c>
      <c r="C25" s="33" t="inlineStr">
        <is>
          <t>Gouvernance SI &amp; ERP</t>
        </is>
      </c>
      <c r="D25" s="32" t="inlineStr">
        <is>
          <t>Cours</t>
        </is>
      </c>
      <c r="E25" s="32" t="inlineStr">
        <is>
          <t>Basse</t>
        </is>
      </c>
      <c r="F25" s="32" t="inlineStr">
        <is>
          <t>Non commencé</t>
        </is>
      </c>
      <c r="G25" s="34" t="n"/>
      <c r="H25" s="25">
        <f>IF(C25="","",IF(G25="","",G25+Paramètres!$C$8))</f>
        <v/>
      </c>
      <c r="I25" s="32" t="n">
        <v>0</v>
      </c>
      <c r="J25" s="11">
        <f>IF(C25="","",IF(AND(F25&lt;&gt;"Acquis",H25&lt;&gt;"",H25&lt;TODAY()),"À reprendre",IF(F25="À consolider","À consolider",IF(AND(F25="Non commencé",TODAY()&gt;=EDATE(Paramètres!$C$5,6),TODAY()&lt;EDATE(Paramètres!$C$5,8)),"Période en cours","OK"))))</f>
        <v/>
      </c>
      <c r="K25" s="32" t="inlineStr">
        <is>
          <t>Pas vu</t>
        </is>
      </c>
      <c r="L25" s="33" t="n"/>
      <c r="M25" s="35">
        <f>IF(C25="","",IF(AND(1&gt;=7,1&lt;=8),1,""))</f>
        <v/>
      </c>
      <c r="N25" s="35">
        <f>IF(C25="","",IF(AND(2&gt;=7,2&lt;=8),1,""))</f>
        <v/>
      </c>
      <c r="O25" s="35">
        <f>IF(C25="","",IF(AND(3&gt;=7,3&lt;=8),1,""))</f>
        <v/>
      </c>
      <c r="P25" s="35">
        <f>IF(C25="","",IF(AND(4&gt;=7,4&lt;=8),1,""))</f>
        <v/>
      </c>
      <c r="Q25" s="35">
        <f>IF(C25="","",IF(AND(5&gt;=7,5&lt;=8),1,""))</f>
        <v/>
      </c>
      <c r="R25" s="35">
        <f>IF(C25="","",IF(AND(6&gt;=7,6&lt;=8),1,""))</f>
        <v/>
      </c>
      <c r="S25" s="35">
        <f>IF(C25="","",IF(AND(7&gt;=7,7&lt;=8),1,""))</f>
        <v/>
      </c>
      <c r="T25" s="35">
        <f>IF(C25="","",IF(AND(8&gt;=7,8&lt;=8),1,""))</f>
        <v/>
      </c>
      <c r="U25" s="35">
        <f>IF(C25="","",IF(AND(9&gt;=7,9&lt;=8),1,""))</f>
        <v/>
      </c>
      <c r="V25" s="35">
        <f>IF(C25="","",IF(AND(10&gt;=7,10&lt;=8),1,""))</f>
        <v/>
      </c>
      <c r="W25" s="35">
        <f>IF(C25="","",IF(AND(11&gt;=7,11&lt;=8),1,""))</f>
        <v/>
      </c>
      <c r="X25" s="35">
        <f>IF(C25="","",IF(AND(12&gt;=7,12&lt;=8),1,""))</f>
        <v/>
      </c>
      <c r="Y25" s="35">
        <f>IF(C25="","",IF(AND(13&gt;=7,13&lt;=8),1,""))</f>
        <v/>
      </c>
    </row>
    <row r="26" ht="22" customHeight="1">
      <c r="B26" s="32" t="inlineStr">
        <is>
          <t>UE2</t>
        </is>
      </c>
      <c r="C26" s="33" t="inlineStr">
        <is>
          <t>Financement &amp; structure du capital</t>
        </is>
      </c>
      <c r="D26" s="32" t="inlineStr">
        <is>
          <t>Cours</t>
        </is>
      </c>
      <c r="E26" s="32" t="inlineStr">
        <is>
          <t>Moyenne</t>
        </is>
      </c>
      <c r="F26" s="32" t="inlineStr">
        <is>
          <t>Non commencé</t>
        </is>
      </c>
      <c r="G26" s="34" t="n"/>
      <c r="H26" s="25">
        <f>IF(C26="","",IF(G26="","",G26+Paramètres!$C$8))</f>
        <v/>
      </c>
      <c r="I26" s="32" t="n">
        <v>0</v>
      </c>
      <c r="J26" s="11">
        <f>IF(C26="","",IF(AND(F26&lt;&gt;"Acquis",H26&lt;&gt;"",H26&lt;TODAY()),"À reprendre",IF(F26="À consolider","À consolider",IF(AND(F26="Non commencé",TODAY()&gt;=EDATE(Paramètres!$C$5,7),TODAY()&lt;EDATE(Paramètres!$C$5,9)),"Période en cours","OK"))))</f>
        <v/>
      </c>
      <c r="K26" s="32" t="inlineStr">
        <is>
          <t>Pas vu</t>
        </is>
      </c>
      <c r="L26" s="33" t="n"/>
      <c r="M26" s="35">
        <f>IF(C26="","",IF(AND(1&gt;=8,1&lt;=9),1,""))</f>
        <v/>
      </c>
      <c r="N26" s="35">
        <f>IF(C26="","",IF(AND(2&gt;=8,2&lt;=9),1,""))</f>
        <v/>
      </c>
      <c r="O26" s="35">
        <f>IF(C26="","",IF(AND(3&gt;=8,3&lt;=9),1,""))</f>
        <v/>
      </c>
      <c r="P26" s="35">
        <f>IF(C26="","",IF(AND(4&gt;=8,4&lt;=9),1,""))</f>
        <v/>
      </c>
      <c r="Q26" s="35">
        <f>IF(C26="","",IF(AND(5&gt;=8,5&lt;=9),1,""))</f>
        <v/>
      </c>
      <c r="R26" s="35">
        <f>IF(C26="","",IF(AND(6&gt;=8,6&lt;=9),1,""))</f>
        <v/>
      </c>
      <c r="S26" s="35">
        <f>IF(C26="","",IF(AND(7&gt;=8,7&lt;=9),1,""))</f>
        <v/>
      </c>
      <c r="T26" s="35">
        <f>IF(C26="","",IF(AND(8&gt;=8,8&lt;=9),1,""))</f>
        <v/>
      </c>
      <c r="U26" s="35">
        <f>IF(C26="","",IF(AND(9&gt;=8,9&lt;=9),1,""))</f>
        <v/>
      </c>
      <c r="V26" s="35">
        <f>IF(C26="","",IF(AND(10&gt;=8,10&lt;=9),1,""))</f>
        <v/>
      </c>
      <c r="W26" s="35">
        <f>IF(C26="","",IF(AND(11&gt;=8,11&lt;=9),1,""))</f>
        <v/>
      </c>
      <c r="X26" s="35">
        <f>IF(C26="","",IF(AND(12&gt;=8,12&lt;=9),1,""))</f>
        <v/>
      </c>
      <c r="Y26" s="35">
        <f>IF(C26="","",IF(AND(13&gt;=8,13&lt;=9),1,""))</f>
        <v/>
      </c>
    </row>
    <row r="27" ht="22" customHeight="1">
      <c r="B27" s="32" t="inlineStr">
        <is>
          <t>UE4</t>
        </is>
      </c>
      <c r="C27" s="33" t="inlineStr">
        <is>
          <t>Audit — démarche &amp; risques</t>
        </is>
      </c>
      <c r="D27" s="32" t="inlineStr">
        <is>
          <t>Cours</t>
        </is>
      </c>
      <c r="E27" s="32" t="inlineStr">
        <is>
          <t>Moyenne</t>
        </is>
      </c>
      <c r="F27" s="32" t="inlineStr">
        <is>
          <t>Non commencé</t>
        </is>
      </c>
      <c r="G27" s="34" t="n"/>
      <c r="H27" s="25">
        <f>IF(C27="","",IF(G27="","",G27+Paramètres!$C$8))</f>
        <v/>
      </c>
      <c r="I27" s="32" t="n">
        <v>0</v>
      </c>
      <c r="J27" s="11">
        <f>IF(C27="","",IF(AND(F27&lt;&gt;"Acquis",H27&lt;&gt;"",H27&lt;TODAY()),"À reprendre",IF(F27="À consolider","À consolider",IF(AND(F27="Non commencé",TODAY()&gt;=EDATE(Paramètres!$C$5,7),TODAY()&lt;EDATE(Paramètres!$C$5,9)),"Période en cours","OK"))))</f>
        <v/>
      </c>
      <c r="K27" s="32" t="inlineStr">
        <is>
          <t>Pas vu</t>
        </is>
      </c>
      <c r="L27" s="33" t="n"/>
      <c r="M27" s="35">
        <f>IF(C27="","",IF(AND(1&gt;=8,1&lt;=9),1,""))</f>
        <v/>
      </c>
      <c r="N27" s="35">
        <f>IF(C27="","",IF(AND(2&gt;=8,2&lt;=9),1,""))</f>
        <v/>
      </c>
      <c r="O27" s="35">
        <f>IF(C27="","",IF(AND(3&gt;=8,3&lt;=9),1,""))</f>
        <v/>
      </c>
      <c r="P27" s="35">
        <f>IF(C27="","",IF(AND(4&gt;=8,4&lt;=9),1,""))</f>
        <v/>
      </c>
      <c r="Q27" s="35">
        <f>IF(C27="","",IF(AND(5&gt;=8,5&lt;=9),1,""))</f>
        <v/>
      </c>
      <c r="R27" s="35">
        <f>IF(C27="","",IF(AND(6&gt;=8,6&lt;=9),1,""))</f>
        <v/>
      </c>
      <c r="S27" s="35">
        <f>IF(C27="","",IF(AND(7&gt;=8,7&lt;=9),1,""))</f>
        <v/>
      </c>
      <c r="T27" s="35">
        <f>IF(C27="","",IF(AND(8&gt;=8,8&lt;=9),1,""))</f>
        <v/>
      </c>
      <c r="U27" s="35">
        <f>IF(C27="","",IF(AND(9&gt;=8,9&lt;=9),1,""))</f>
        <v/>
      </c>
      <c r="V27" s="35">
        <f>IF(C27="","",IF(AND(10&gt;=8,10&lt;=9),1,""))</f>
        <v/>
      </c>
      <c r="W27" s="35">
        <f>IF(C27="","",IF(AND(11&gt;=8,11&lt;=9),1,""))</f>
        <v/>
      </c>
      <c r="X27" s="35">
        <f>IF(C27="","",IF(AND(12&gt;=8,12&lt;=9),1,""))</f>
        <v/>
      </c>
      <c r="Y27" s="35">
        <f>IF(C27="","",IF(AND(13&gt;=8,13&lt;=9),1,""))</f>
        <v/>
      </c>
    </row>
    <row r="28" ht="22" customHeight="1">
      <c r="B28" s="32" t="inlineStr">
        <is>
          <t>UE4</t>
        </is>
      </c>
      <c r="C28" s="33" t="inlineStr">
        <is>
          <t>Reprise consolidation (2e passage)</t>
        </is>
      </c>
      <c r="D28" s="32" t="inlineStr">
        <is>
          <t>Relecture</t>
        </is>
      </c>
      <c r="E28" s="32" t="inlineStr">
        <is>
          <t>Haute</t>
        </is>
      </c>
      <c r="F28" s="32" t="inlineStr">
        <is>
          <t>Non commencé</t>
        </is>
      </c>
      <c r="G28" s="34" t="n"/>
      <c r="H28" s="25">
        <f>IF(C28="","",IF(G28="","",G28+Paramètres!$C$8))</f>
        <v/>
      </c>
      <c r="I28" s="32" t="n">
        <v>0</v>
      </c>
      <c r="J28" s="11">
        <f>IF(C28="","",IF(AND(F28&lt;&gt;"Acquis",H28&lt;&gt;"",H28&lt;TODAY()),"À reprendre",IF(F28="À consolider","À consolider",IF(AND(F28="Non commencé",TODAY()&gt;=EDATE(Paramètres!$C$5,7),TODAY()&lt;EDATE(Paramètres!$C$5,9)),"Période en cours","OK"))))</f>
        <v/>
      </c>
      <c r="K28" s="32" t="inlineStr">
        <is>
          <t>Pas vu</t>
        </is>
      </c>
      <c r="L28" s="33" t="n"/>
      <c r="M28" s="35">
        <f>IF(C28="","",IF(AND(1&gt;=8,1&lt;=9),1,""))</f>
        <v/>
      </c>
      <c r="N28" s="35">
        <f>IF(C28="","",IF(AND(2&gt;=8,2&lt;=9),1,""))</f>
        <v/>
      </c>
      <c r="O28" s="35">
        <f>IF(C28="","",IF(AND(3&gt;=8,3&lt;=9),1,""))</f>
        <v/>
      </c>
      <c r="P28" s="35">
        <f>IF(C28="","",IF(AND(4&gt;=8,4&lt;=9),1,""))</f>
        <v/>
      </c>
      <c r="Q28" s="35">
        <f>IF(C28="","",IF(AND(5&gt;=8,5&lt;=9),1,""))</f>
        <v/>
      </c>
      <c r="R28" s="35">
        <f>IF(C28="","",IF(AND(6&gt;=8,6&lt;=9),1,""))</f>
        <v/>
      </c>
      <c r="S28" s="35">
        <f>IF(C28="","",IF(AND(7&gt;=8,7&lt;=9),1,""))</f>
        <v/>
      </c>
      <c r="T28" s="35">
        <f>IF(C28="","",IF(AND(8&gt;=8,8&lt;=9),1,""))</f>
        <v/>
      </c>
      <c r="U28" s="35">
        <f>IF(C28="","",IF(AND(9&gt;=8,9&lt;=9),1,""))</f>
        <v/>
      </c>
      <c r="V28" s="35">
        <f>IF(C28="","",IF(AND(10&gt;=8,10&lt;=9),1,""))</f>
        <v/>
      </c>
      <c r="W28" s="35">
        <f>IF(C28="","",IF(AND(11&gt;=8,11&lt;=9),1,""))</f>
        <v/>
      </c>
      <c r="X28" s="35">
        <f>IF(C28="","",IF(AND(12&gt;=8,12&lt;=9),1,""))</f>
        <v/>
      </c>
      <c r="Y28" s="35">
        <f>IF(C28="","",IF(AND(13&gt;=8,13&lt;=9),1,""))</f>
        <v/>
      </c>
    </row>
    <row r="29" ht="22" customHeight="1">
      <c r="B29" s="32" t="inlineStr">
        <is>
          <t>UE1</t>
        </is>
      </c>
      <c r="C29" s="33" t="inlineStr">
        <is>
          <t>Reprise fiscalité (2e passage)</t>
        </is>
      </c>
      <c r="D29" s="32" t="inlineStr">
        <is>
          <t>Relecture</t>
        </is>
      </c>
      <c r="E29" s="32" t="inlineStr">
        <is>
          <t>Haute</t>
        </is>
      </c>
      <c r="F29" s="32" t="inlineStr">
        <is>
          <t>Non commencé</t>
        </is>
      </c>
      <c r="G29" s="34" t="n"/>
      <c r="H29" s="25">
        <f>IF(C29="","",IF(G29="","",G29+Paramètres!$C$8))</f>
        <v/>
      </c>
      <c r="I29" s="32" t="n">
        <v>0</v>
      </c>
      <c r="J29" s="11">
        <f>IF(C29="","",IF(AND(F29&lt;&gt;"Acquis",H29&lt;&gt;"",H29&lt;TODAY()),"À reprendre",IF(F29="À consolider","À consolider",IF(AND(F29="Non commencé",TODAY()&gt;=EDATE(Paramètres!$C$5,7),TODAY()&lt;EDATE(Paramètres!$C$5,9)),"Période en cours","OK"))))</f>
        <v/>
      </c>
      <c r="K29" s="32" t="inlineStr">
        <is>
          <t>Pas vu</t>
        </is>
      </c>
      <c r="L29" s="33" t="n"/>
      <c r="M29" s="35">
        <f>IF(C29="","",IF(AND(1&gt;=8,1&lt;=9),1,""))</f>
        <v/>
      </c>
      <c r="N29" s="35">
        <f>IF(C29="","",IF(AND(2&gt;=8,2&lt;=9),1,""))</f>
        <v/>
      </c>
      <c r="O29" s="35">
        <f>IF(C29="","",IF(AND(3&gt;=8,3&lt;=9),1,""))</f>
        <v/>
      </c>
      <c r="P29" s="35">
        <f>IF(C29="","",IF(AND(4&gt;=8,4&lt;=9),1,""))</f>
        <v/>
      </c>
      <c r="Q29" s="35">
        <f>IF(C29="","",IF(AND(5&gt;=8,5&lt;=9),1,""))</f>
        <v/>
      </c>
      <c r="R29" s="35">
        <f>IF(C29="","",IF(AND(6&gt;=8,6&lt;=9),1,""))</f>
        <v/>
      </c>
      <c r="S29" s="35">
        <f>IF(C29="","",IF(AND(7&gt;=8,7&lt;=9),1,""))</f>
        <v/>
      </c>
      <c r="T29" s="35">
        <f>IF(C29="","",IF(AND(8&gt;=8,8&lt;=9),1,""))</f>
        <v/>
      </c>
      <c r="U29" s="35">
        <f>IF(C29="","",IF(AND(9&gt;=8,9&lt;=9),1,""))</f>
        <v/>
      </c>
      <c r="V29" s="35">
        <f>IF(C29="","",IF(AND(10&gt;=8,10&lt;=9),1,""))</f>
        <v/>
      </c>
      <c r="W29" s="35">
        <f>IF(C29="","",IF(AND(11&gt;=8,11&lt;=9),1,""))</f>
        <v/>
      </c>
      <c r="X29" s="35">
        <f>IF(C29="","",IF(AND(12&gt;=8,12&lt;=9),1,""))</f>
        <v/>
      </c>
      <c r="Y29" s="35">
        <f>IF(C29="","",IF(AND(13&gt;=8,13&lt;=9),1,""))</f>
        <v/>
      </c>
    </row>
    <row r="30" ht="22" customHeight="1">
      <c r="B30" s="32" t="inlineStr">
        <is>
          <t>TRANSVERSE</t>
        </is>
      </c>
      <c r="C30" s="33" t="inlineStr">
        <is>
          <t>Bilan T3 — avant l'été</t>
        </is>
      </c>
      <c r="D30" s="32" t="inlineStr">
        <is>
          <t>Mixte</t>
        </is>
      </c>
      <c r="E30" s="32" t="inlineStr">
        <is>
          <t>Haute</t>
        </is>
      </c>
      <c r="F30" s="32" t="inlineStr">
        <is>
          <t>Non commencé</t>
        </is>
      </c>
      <c r="G30" s="34" t="n"/>
      <c r="H30" s="25">
        <f>IF(C30="","",IF(G30="","",G30+Paramètres!$C$8))</f>
        <v/>
      </c>
      <c r="I30" s="32" t="n">
        <v>0</v>
      </c>
      <c r="J30" s="11">
        <f>IF(C30="","",IF(AND(F30&lt;&gt;"Acquis",H30&lt;&gt;"",H30&lt;TODAY()),"À reprendre",IF(F30="À consolider","À consolider",IF(AND(F30="Non commencé",TODAY()&gt;=EDATE(Paramètres!$C$5,8),TODAY()&lt;EDATE(Paramètres!$C$5,9)),"Période en cours","OK"))))</f>
        <v/>
      </c>
      <c r="K30" s="32" t="inlineStr">
        <is>
          <t>Pas vu</t>
        </is>
      </c>
      <c r="L30" s="33" t="n"/>
      <c r="M30" s="35">
        <f>IF(C30="","",IF(AND(1&gt;=9,1&lt;=9),1,""))</f>
        <v/>
      </c>
      <c r="N30" s="35">
        <f>IF(C30="","",IF(AND(2&gt;=9,2&lt;=9),1,""))</f>
        <v/>
      </c>
      <c r="O30" s="35">
        <f>IF(C30="","",IF(AND(3&gt;=9,3&lt;=9),1,""))</f>
        <v/>
      </c>
      <c r="P30" s="35">
        <f>IF(C30="","",IF(AND(4&gt;=9,4&lt;=9),1,""))</f>
        <v/>
      </c>
      <c r="Q30" s="35">
        <f>IF(C30="","",IF(AND(5&gt;=9,5&lt;=9),1,""))</f>
        <v/>
      </c>
      <c r="R30" s="35">
        <f>IF(C30="","",IF(AND(6&gt;=9,6&lt;=9),1,""))</f>
        <v/>
      </c>
      <c r="S30" s="35">
        <f>IF(C30="","",IF(AND(7&gt;=9,7&lt;=9),1,""))</f>
        <v/>
      </c>
      <c r="T30" s="35">
        <f>IF(C30="","",IF(AND(8&gt;=9,8&lt;=9),1,""))</f>
        <v/>
      </c>
      <c r="U30" s="35">
        <f>IF(C30="","",IF(AND(9&gt;=9,9&lt;=9),1,""))</f>
        <v/>
      </c>
      <c r="V30" s="35">
        <f>IF(C30="","",IF(AND(10&gt;=9,10&lt;=9),1,""))</f>
        <v/>
      </c>
      <c r="W30" s="35">
        <f>IF(C30="","",IF(AND(11&gt;=9,11&lt;=9),1,""))</f>
        <v/>
      </c>
      <c r="X30" s="35">
        <f>IF(C30="","",IF(AND(12&gt;=9,12&lt;=9),1,""))</f>
        <v/>
      </c>
      <c r="Y30" s="35">
        <f>IF(C30="","",IF(AND(13&gt;=9,13&lt;=9),1,""))</f>
        <v/>
      </c>
    </row>
    <row r="31" ht="22" customHeight="1">
      <c r="B31" s="32" t="inlineStr">
        <is>
          <t>TRANSVERSE</t>
        </is>
      </c>
      <c r="C31" s="33" t="inlineStr">
        <is>
          <t>Été — fiches express (léger, hors congés)</t>
        </is>
      </c>
      <c r="D31" s="32" t="inlineStr">
        <is>
          <t>Fiches</t>
        </is>
      </c>
      <c r="E31" s="32" t="inlineStr">
        <is>
          <t>Moyenne</t>
        </is>
      </c>
      <c r="F31" s="32" t="inlineStr">
        <is>
          <t>Non commencé</t>
        </is>
      </c>
      <c r="G31" s="34" t="n"/>
      <c r="H31" s="25">
        <f>IF(C31="","",IF(G31="","",G31+Paramètres!$C$8))</f>
        <v/>
      </c>
      <c r="I31" s="32" t="n">
        <v>0</v>
      </c>
      <c r="J31" s="11">
        <f>IF(C31="","",IF(AND(F31&lt;&gt;"Acquis",H31&lt;&gt;"",H31&lt;TODAY()),"À reprendre",IF(F31="À consolider","À consolider",IF(AND(F31="Non commencé",TODAY()&gt;=EDATE(Paramètres!$C$5,9),TODAY()&lt;EDATE(Paramètres!$C$5,11)),"Période en cours","OK"))))</f>
        <v/>
      </c>
      <c r="K31" s="32" t="inlineStr">
        <is>
          <t>Pas vu</t>
        </is>
      </c>
      <c r="L31" s="33" t="n"/>
      <c r="M31" s="35">
        <f>IF(C31="","",IF(AND(1&gt;=10,1&lt;=11),1,""))</f>
        <v/>
      </c>
      <c r="N31" s="35">
        <f>IF(C31="","",IF(AND(2&gt;=10,2&lt;=11),1,""))</f>
        <v/>
      </c>
      <c r="O31" s="35">
        <f>IF(C31="","",IF(AND(3&gt;=10,3&lt;=11),1,""))</f>
        <v/>
      </c>
      <c r="P31" s="35">
        <f>IF(C31="","",IF(AND(4&gt;=10,4&lt;=11),1,""))</f>
        <v/>
      </c>
      <c r="Q31" s="35">
        <f>IF(C31="","",IF(AND(5&gt;=10,5&lt;=11),1,""))</f>
        <v/>
      </c>
      <c r="R31" s="35">
        <f>IF(C31="","",IF(AND(6&gt;=10,6&lt;=11),1,""))</f>
        <v/>
      </c>
      <c r="S31" s="35">
        <f>IF(C31="","",IF(AND(7&gt;=10,7&lt;=11),1,""))</f>
        <v/>
      </c>
      <c r="T31" s="35">
        <f>IF(C31="","",IF(AND(8&gt;=10,8&lt;=11),1,""))</f>
        <v/>
      </c>
      <c r="U31" s="35">
        <f>IF(C31="","",IF(AND(9&gt;=10,9&lt;=11),1,""))</f>
        <v/>
      </c>
      <c r="V31" s="35">
        <f>IF(C31="","",IF(AND(10&gt;=10,10&lt;=11),1,""))</f>
        <v/>
      </c>
      <c r="W31" s="35">
        <f>IF(C31="","",IF(AND(11&gt;=10,11&lt;=11),1,""))</f>
        <v/>
      </c>
      <c r="X31" s="35">
        <f>IF(C31="","",IF(AND(12&gt;=10,12&lt;=11),1,""))</f>
        <v/>
      </c>
      <c r="Y31" s="35">
        <f>IF(C31="","",IF(AND(13&gt;=10,13&lt;=11),1,""))</f>
        <v/>
      </c>
    </row>
    <row r="32" ht="22" customHeight="1">
      <c r="B32" s="32" t="inlineStr">
        <is>
          <t>UE2</t>
        </is>
      </c>
      <c r="C32" s="33" t="inlineStr">
        <is>
          <t>Ingénierie financière</t>
        </is>
      </c>
      <c r="D32" s="32" t="inlineStr">
        <is>
          <t>Cours</t>
        </is>
      </c>
      <c r="E32" s="32" t="inlineStr">
        <is>
          <t>Moyenne</t>
        </is>
      </c>
      <c r="F32" s="32" t="inlineStr">
        <is>
          <t>Non commencé</t>
        </is>
      </c>
      <c r="G32" s="34" t="n"/>
      <c r="H32" s="25">
        <f>IF(C32="","",IF(G32="","",G32+Paramètres!$C$8))</f>
        <v/>
      </c>
      <c r="I32" s="32" t="n">
        <v>0</v>
      </c>
      <c r="J32" s="11">
        <f>IF(C32="","",IF(AND(F32&lt;&gt;"Acquis",H32&lt;&gt;"",H32&lt;TODAY()),"À reprendre",IF(F32="À consolider","À consolider",IF(AND(F32="Non commencé",TODAY()&gt;=EDATE(Paramètres!$C$5,9),TODAY()&lt;EDATE(Paramètres!$C$5,11)),"Période en cours","OK"))))</f>
        <v/>
      </c>
      <c r="K32" s="32" t="inlineStr">
        <is>
          <t>Pas vu</t>
        </is>
      </c>
      <c r="L32" s="33" t="n"/>
      <c r="M32" s="35">
        <f>IF(C32="","",IF(AND(1&gt;=10,1&lt;=11),1,""))</f>
        <v/>
      </c>
      <c r="N32" s="35">
        <f>IF(C32="","",IF(AND(2&gt;=10,2&lt;=11),1,""))</f>
        <v/>
      </c>
      <c r="O32" s="35">
        <f>IF(C32="","",IF(AND(3&gt;=10,3&lt;=11),1,""))</f>
        <v/>
      </c>
      <c r="P32" s="35">
        <f>IF(C32="","",IF(AND(4&gt;=10,4&lt;=11),1,""))</f>
        <v/>
      </c>
      <c r="Q32" s="35">
        <f>IF(C32="","",IF(AND(5&gt;=10,5&lt;=11),1,""))</f>
        <v/>
      </c>
      <c r="R32" s="35">
        <f>IF(C32="","",IF(AND(6&gt;=10,6&lt;=11),1,""))</f>
        <v/>
      </c>
      <c r="S32" s="35">
        <f>IF(C32="","",IF(AND(7&gt;=10,7&lt;=11),1,""))</f>
        <v/>
      </c>
      <c r="T32" s="35">
        <f>IF(C32="","",IF(AND(8&gt;=10,8&lt;=11),1,""))</f>
        <v/>
      </c>
      <c r="U32" s="35">
        <f>IF(C32="","",IF(AND(9&gt;=10,9&lt;=11),1,""))</f>
        <v/>
      </c>
      <c r="V32" s="35">
        <f>IF(C32="","",IF(AND(10&gt;=10,10&lt;=11),1,""))</f>
        <v/>
      </c>
      <c r="W32" s="35">
        <f>IF(C32="","",IF(AND(11&gt;=10,11&lt;=11),1,""))</f>
        <v/>
      </c>
      <c r="X32" s="35">
        <f>IF(C32="","",IF(AND(12&gt;=10,12&lt;=11),1,""))</f>
        <v/>
      </c>
      <c r="Y32" s="35">
        <f>IF(C32="","",IF(AND(13&gt;=10,13&lt;=11),1,""))</f>
        <v/>
      </c>
    </row>
    <row r="33" ht="22" customHeight="1">
      <c r="B33" s="32" t="inlineStr">
        <is>
          <t>UE3</t>
        </is>
      </c>
      <c r="C33" s="33" t="inlineStr">
        <is>
          <t>Gestion de projet &amp; organisation</t>
        </is>
      </c>
      <c r="D33" s="32" t="inlineStr">
        <is>
          <t>Cours</t>
        </is>
      </c>
      <c r="E33" s="32" t="inlineStr">
        <is>
          <t>Basse</t>
        </is>
      </c>
      <c r="F33" s="32" t="inlineStr">
        <is>
          <t>Non commencé</t>
        </is>
      </c>
      <c r="G33" s="34" t="n"/>
      <c r="H33" s="25">
        <f>IF(C33="","",IF(G33="","",G33+Paramètres!$C$8))</f>
        <v/>
      </c>
      <c r="I33" s="32" t="n">
        <v>0</v>
      </c>
      <c r="J33" s="11">
        <f>IF(C33="","",IF(AND(F33&lt;&gt;"Acquis",H33&lt;&gt;"",H33&lt;TODAY()),"À reprendre",IF(F33="À consolider","À consolider",IF(AND(F33="Non commencé",TODAY()&gt;=EDATE(Paramètres!$C$5,9),TODAY()&lt;EDATE(Paramètres!$C$5,11)),"Période en cours","OK"))))</f>
        <v/>
      </c>
      <c r="K33" s="32" t="inlineStr">
        <is>
          <t>Pas vu</t>
        </is>
      </c>
      <c r="L33" s="33" t="n"/>
      <c r="M33" s="35">
        <f>IF(C33="","",IF(AND(1&gt;=10,1&lt;=11),1,""))</f>
        <v/>
      </c>
      <c r="N33" s="35">
        <f>IF(C33="","",IF(AND(2&gt;=10,2&lt;=11),1,""))</f>
        <v/>
      </c>
      <c r="O33" s="35">
        <f>IF(C33="","",IF(AND(3&gt;=10,3&lt;=11),1,""))</f>
        <v/>
      </c>
      <c r="P33" s="35">
        <f>IF(C33="","",IF(AND(4&gt;=10,4&lt;=11),1,""))</f>
        <v/>
      </c>
      <c r="Q33" s="35">
        <f>IF(C33="","",IF(AND(5&gt;=10,5&lt;=11),1,""))</f>
        <v/>
      </c>
      <c r="R33" s="35">
        <f>IF(C33="","",IF(AND(6&gt;=10,6&lt;=11),1,""))</f>
        <v/>
      </c>
      <c r="S33" s="35">
        <f>IF(C33="","",IF(AND(7&gt;=10,7&lt;=11),1,""))</f>
        <v/>
      </c>
      <c r="T33" s="35">
        <f>IF(C33="","",IF(AND(8&gt;=10,8&lt;=11),1,""))</f>
        <v/>
      </c>
      <c r="U33" s="35">
        <f>IF(C33="","",IF(AND(9&gt;=10,9&lt;=11),1,""))</f>
        <v/>
      </c>
      <c r="V33" s="35">
        <f>IF(C33="","",IF(AND(10&gt;=10,10&lt;=11),1,""))</f>
        <v/>
      </c>
      <c r="W33" s="35">
        <f>IF(C33="","",IF(AND(11&gt;=10,11&lt;=11),1,""))</f>
        <v/>
      </c>
      <c r="X33" s="35">
        <f>IF(C33="","",IF(AND(12&gt;=10,12&lt;=11),1,""))</f>
        <v/>
      </c>
      <c r="Y33" s="35">
        <f>IF(C33="","",IF(AND(13&gt;=10,13&lt;=11),1,""))</f>
        <v/>
      </c>
    </row>
    <row r="34" ht="22" customHeight="1">
      <c r="B34" s="32" t="inlineStr">
        <is>
          <t>UE5</t>
        </is>
      </c>
      <c r="C34" s="33" t="inlineStr">
        <is>
          <t>Sécurité &amp; transformation digitale</t>
        </is>
      </c>
      <c r="D34" s="32" t="inlineStr">
        <is>
          <t>Fiches</t>
        </is>
      </c>
      <c r="E34" s="32" t="inlineStr">
        <is>
          <t>Basse</t>
        </is>
      </c>
      <c r="F34" s="32" t="inlineStr">
        <is>
          <t>Non commencé</t>
        </is>
      </c>
      <c r="G34" s="34" t="n"/>
      <c r="H34" s="25">
        <f>IF(C34="","",IF(G34="","",G34+Paramètres!$C$8))</f>
        <v/>
      </c>
      <c r="I34" s="32" t="n">
        <v>0</v>
      </c>
      <c r="J34" s="11">
        <f>IF(C34="","",IF(AND(F34&lt;&gt;"Acquis",H34&lt;&gt;"",H34&lt;TODAY()),"À reprendre",IF(F34="À consolider","À consolider",IF(AND(F34="Non commencé",TODAY()&gt;=EDATE(Paramètres!$C$5,10),TODAY()&lt;EDATE(Paramètres!$C$5,11)),"Période en cours","OK"))))</f>
        <v/>
      </c>
      <c r="K34" s="32" t="inlineStr">
        <is>
          <t>Pas vu</t>
        </is>
      </c>
      <c r="L34" s="33" t="n"/>
      <c r="M34" s="35">
        <f>IF(C34="","",IF(AND(1&gt;=11,1&lt;=11),1,""))</f>
        <v/>
      </c>
      <c r="N34" s="35">
        <f>IF(C34="","",IF(AND(2&gt;=11,2&lt;=11),1,""))</f>
        <v/>
      </c>
      <c r="O34" s="35">
        <f>IF(C34="","",IF(AND(3&gt;=11,3&lt;=11),1,""))</f>
        <v/>
      </c>
      <c r="P34" s="35">
        <f>IF(C34="","",IF(AND(4&gt;=11,4&lt;=11),1,""))</f>
        <v/>
      </c>
      <c r="Q34" s="35">
        <f>IF(C34="","",IF(AND(5&gt;=11,5&lt;=11),1,""))</f>
        <v/>
      </c>
      <c r="R34" s="35">
        <f>IF(C34="","",IF(AND(6&gt;=11,6&lt;=11),1,""))</f>
        <v/>
      </c>
      <c r="S34" s="35">
        <f>IF(C34="","",IF(AND(7&gt;=11,7&lt;=11),1,""))</f>
        <v/>
      </c>
      <c r="T34" s="35">
        <f>IF(C34="","",IF(AND(8&gt;=11,8&lt;=11),1,""))</f>
        <v/>
      </c>
      <c r="U34" s="35">
        <f>IF(C34="","",IF(AND(9&gt;=11,9&lt;=11),1,""))</f>
        <v/>
      </c>
      <c r="V34" s="35">
        <f>IF(C34="","",IF(AND(10&gt;=11,10&lt;=11),1,""))</f>
        <v/>
      </c>
      <c r="W34" s="35">
        <f>IF(C34="","",IF(AND(11&gt;=11,11&lt;=11),1,""))</f>
        <v/>
      </c>
      <c r="X34" s="35">
        <f>IF(C34="","",IF(AND(12&gt;=11,12&lt;=11),1,""))</f>
        <v/>
      </c>
      <c r="Y34" s="35">
        <f>IF(C34="","",IF(AND(13&gt;=11,13&lt;=11),1,""))</f>
        <v/>
      </c>
    </row>
    <row r="35" ht="22" customHeight="1">
      <c r="B35" s="32" t="inlineStr">
        <is>
          <t>UE6</t>
        </is>
      </c>
      <c r="C35" s="33" t="inlineStr">
        <is>
          <t>Anglais — comprehension écrite (boost)</t>
        </is>
      </c>
      <c r="D35" s="32" t="inlineStr">
        <is>
          <t>Exercices</t>
        </is>
      </c>
      <c r="E35" s="32" t="inlineStr">
        <is>
          <t>Moyenne</t>
        </is>
      </c>
      <c r="F35" s="32" t="inlineStr">
        <is>
          <t>Non commencé</t>
        </is>
      </c>
      <c r="G35" s="34" t="n"/>
      <c r="H35" s="25">
        <f>IF(C35="","",IF(G35="","",G35+Paramètres!$C$8))</f>
        <v/>
      </c>
      <c r="I35" s="32" t="n">
        <v>0</v>
      </c>
      <c r="J35" s="11">
        <f>IF(C35="","",IF(AND(F35&lt;&gt;"Acquis",H35&lt;&gt;"",H35&lt;TODAY()),"À reprendre",IF(F35="À consolider","À consolider",IF(AND(F35="Non commencé",TODAY()&gt;=EDATE(Paramètres!$C$5,10),TODAY()&lt;EDATE(Paramètres!$C$5,12)),"Période en cours","OK"))))</f>
        <v/>
      </c>
      <c r="K35" s="32" t="inlineStr">
        <is>
          <t>Pas vu</t>
        </is>
      </c>
      <c r="L35" s="33" t="n"/>
      <c r="M35" s="35">
        <f>IF(C35="","",IF(AND(1&gt;=11,1&lt;=12),1,""))</f>
        <v/>
      </c>
      <c r="N35" s="35">
        <f>IF(C35="","",IF(AND(2&gt;=11,2&lt;=12),1,""))</f>
        <v/>
      </c>
      <c r="O35" s="35">
        <f>IF(C35="","",IF(AND(3&gt;=11,3&lt;=12),1,""))</f>
        <v/>
      </c>
      <c r="P35" s="35">
        <f>IF(C35="","",IF(AND(4&gt;=11,4&lt;=12),1,""))</f>
        <v/>
      </c>
      <c r="Q35" s="35">
        <f>IF(C35="","",IF(AND(5&gt;=11,5&lt;=12),1,""))</f>
        <v/>
      </c>
      <c r="R35" s="35">
        <f>IF(C35="","",IF(AND(6&gt;=11,6&lt;=12),1,""))</f>
        <v/>
      </c>
      <c r="S35" s="35">
        <f>IF(C35="","",IF(AND(7&gt;=11,7&lt;=12),1,""))</f>
        <v/>
      </c>
      <c r="T35" s="35">
        <f>IF(C35="","",IF(AND(8&gt;=11,8&lt;=12),1,""))</f>
        <v/>
      </c>
      <c r="U35" s="35">
        <f>IF(C35="","",IF(AND(9&gt;=11,9&lt;=12),1,""))</f>
        <v/>
      </c>
      <c r="V35" s="35">
        <f>IF(C35="","",IF(AND(10&gt;=11,10&lt;=12),1,""))</f>
        <v/>
      </c>
      <c r="W35" s="35">
        <f>IF(C35="","",IF(AND(11&gt;=11,11&lt;=12),1,""))</f>
        <v/>
      </c>
      <c r="X35" s="35">
        <f>IF(C35="","",IF(AND(12&gt;=11,12&lt;=12),1,""))</f>
        <v/>
      </c>
      <c r="Y35" s="35">
        <f>IF(C35="","",IF(AND(13&gt;=11,13&lt;=12),1,""))</f>
        <v/>
      </c>
    </row>
    <row r="36" ht="22" customHeight="1">
      <c r="B36" s="32" t="inlineStr">
        <is>
          <t>UE1</t>
        </is>
      </c>
      <c r="C36" s="33" t="inlineStr">
        <is>
          <t>Consolidation UE1 — annales</t>
        </is>
      </c>
      <c r="D36" s="32" t="inlineStr">
        <is>
          <t>Annales</t>
        </is>
      </c>
      <c r="E36" s="32" t="inlineStr">
        <is>
          <t>Haute</t>
        </is>
      </c>
      <c r="F36" s="32" t="inlineStr">
        <is>
          <t>Non commencé</t>
        </is>
      </c>
      <c r="G36" s="34" t="n"/>
      <c r="H36" s="25">
        <f>IF(C36="","",IF(G36="","",G36+Paramètres!$C$8))</f>
        <v/>
      </c>
      <c r="I36" s="32" t="n">
        <v>0</v>
      </c>
      <c r="J36" s="11">
        <f>IF(C36="","",IF(AND(F36&lt;&gt;"Acquis",H36&lt;&gt;"",H36&lt;TODAY()),"À reprendre",IF(F36="À consolider","À consolider",IF(AND(F36="Non commencé",TODAY()&gt;=EDATE(Paramètres!$C$5,11),TODAY()&lt;EDATE(Paramètres!$C$5,13)),"Période en cours","OK"))))</f>
        <v/>
      </c>
      <c r="K36" s="32" t="inlineStr">
        <is>
          <t>Pas vu</t>
        </is>
      </c>
      <c r="L36" s="33" t="n"/>
      <c r="M36" s="35">
        <f>IF(C36="","",IF(AND(1&gt;=12,1&lt;=13),1,""))</f>
        <v/>
      </c>
      <c r="N36" s="35">
        <f>IF(C36="","",IF(AND(2&gt;=12,2&lt;=13),1,""))</f>
        <v/>
      </c>
      <c r="O36" s="35">
        <f>IF(C36="","",IF(AND(3&gt;=12,3&lt;=13),1,""))</f>
        <v/>
      </c>
      <c r="P36" s="35">
        <f>IF(C36="","",IF(AND(4&gt;=12,4&lt;=13),1,""))</f>
        <v/>
      </c>
      <c r="Q36" s="35">
        <f>IF(C36="","",IF(AND(5&gt;=12,5&lt;=13),1,""))</f>
        <v/>
      </c>
      <c r="R36" s="35">
        <f>IF(C36="","",IF(AND(6&gt;=12,6&lt;=13),1,""))</f>
        <v/>
      </c>
      <c r="S36" s="35">
        <f>IF(C36="","",IF(AND(7&gt;=12,7&lt;=13),1,""))</f>
        <v/>
      </c>
      <c r="T36" s="35">
        <f>IF(C36="","",IF(AND(8&gt;=12,8&lt;=13),1,""))</f>
        <v/>
      </c>
      <c r="U36" s="35">
        <f>IF(C36="","",IF(AND(9&gt;=12,9&lt;=13),1,""))</f>
        <v/>
      </c>
      <c r="V36" s="35">
        <f>IF(C36="","",IF(AND(10&gt;=12,10&lt;=13),1,""))</f>
        <v/>
      </c>
      <c r="W36" s="35">
        <f>IF(C36="","",IF(AND(11&gt;=12,11&lt;=13),1,""))</f>
        <v/>
      </c>
      <c r="X36" s="35">
        <f>IF(C36="","",IF(AND(12&gt;=12,12&lt;=13),1,""))</f>
        <v/>
      </c>
      <c r="Y36" s="35">
        <f>IF(C36="","",IF(AND(13&gt;=12,13&lt;=13),1,""))</f>
        <v/>
      </c>
    </row>
    <row r="37" ht="22" customHeight="1">
      <c r="B37" s="32" t="inlineStr">
        <is>
          <t>UE2</t>
        </is>
      </c>
      <c r="C37" s="33" t="inlineStr">
        <is>
          <t>Consolidation UE2 — annales</t>
        </is>
      </c>
      <c r="D37" s="32" t="inlineStr">
        <is>
          <t>Annales</t>
        </is>
      </c>
      <c r="E37" s="32" t="inlineStr">
        <is>
          <t>Haute</t>
        </is>
      </c>
      <c r="F37" s="32" t="inlineStr">
        <is>
          <t>Non commencé</t>
        </is>
      </c>
      <c r="G37" s="34" t="n"/>
      <c r="H37" s="25">
        <f>IF(C37="","",IF(G37="","",G37+Paramètres!$C$8))</f>
        <v/>
      </c>
      <c r="I37" s="32" t="n">
        <v>0</v>
      </c>
      <c r="J37" s="11">
        <f>IF(C37="","",IF(AND(F37&lt;&gt;"Acquis",H37&lt;&gt;"",H37&lt;TODAY()),"À reprendre",IF(F37="À consolider","À consolider",IF(AND(F37="Non commencé",TODAY()&gt;=EDATE(Paramètres!$C$5,11),TODAY()&lt;EDATE(Paramètres!$C$5,13)),"Période en cours","OK"))))</f>
        <v/>
      </c>
      <c r="K37" s="32" t="inlineStr">
        <is>
          <t>Pas vu</t>
        </is>
      </c>
      <c r="L37" s="33" t="n"/>
      <c r="M37" s="35">
        <f>IF(C37="","",IF(AND(1&gt;=12,1&lt;=13),1,""))</f>
        <v/>
      </c>
      <c r="N37" s="35">
        <f>IF(C37="","",IF(AND(2&gt;=12,2&lt;=13),1,""))</f>
        <v/>
      </c>
      <c r="O37" s="35">
        <f>IF(C37="","",IF(AND(3&gt;=12,3&lt;=13),1,""))</f>
        <v/>
      </c>
      <c r="P37" s="35">
        <f>IF(C37="","",IF(AND(4&gt;=12,4&lt;=13),1,""))</f>
        <v/>
      </c>
      <c r="Q37" s="35">
        <f>IF(C37="","",IF(AND(5&gt;=12,5&lt;=13),1,""))</f>
        <v/>
      </c>
      <c r="R37" s="35">
        <f>IF(C37="","",IF(AND(6&gt;=12,6&lt;=13),1,""))</f>
        <v/>
      </c>
      <c r="S37" s="35">
        <f>IF(C37="","",IF(AND(7&gt;=12,7&lt;=13),1,""))</f>
        <v/>
      </c>
      <c r="T37" s="35">
        <f>IF(C37="","",IF(AND(8&gt;=12,8&lt;=13),1,""))</f>
        <v/>
      </c>
      <c r="U37" s="35">
        <f>IF(C37="","",IF(AND(9&gt;=12,9&lt;=13),1,""))</f>
        <v/>
      </c>
      <c r="V37" s="35">
        <f>IF(C37="","",IF(AND(10&gt;=12,10&lt;=13),1,""))</f>
        <v/>
      </c>
      <c r="W37" s="35">
        <f>IF(C37="","",IF(AND(11&gt;=12,11&lt;=13),1,""))</f>
        <v/>
      </c>
      <c r="X37" s="35">
        <f>IF(C37="","",IF(AND(12&gt;=12,12&lt;=13),1,""))</f>
        <v/>
      </c>
      <c r="Y37" s="35">
        <f>IF(C37="","",IF(AND(13&gt;=12,13&lt;=13),1,""))</f>
        <v/>
      </c>
    </row>
    <row r="38" ht="22" customHeight="1">
      <c r="B38" s="32" t="inlineStr">
        <is>
          <t>UE4</t>
        </is>
      </c>
      <c r="C38" s="33" t="inlineStr">
        <is>
          <t>Consolidation UE4 — annales</t>
        </is>
      </c>
      <c r="D38" s="32" t="inlineStr">
        <is>
          <t>Annales</t>
        </is>
      </c>
      <c r="E38" s="32" t="inlineStr">
        <is>
          <t>Haute</t>
        </is>
      </c>
      <c r="F38" s="32" t="inlineStr">
        <is>
          <t>Non commencé</t>
        </is>
      </c>
      <c r="G38" s="34" t="n"/>
      <c r="H38" s="25">
        <f>IF(C38="","",IF(G38="","",G38+Paramètres!$C$8))</f>
        <v/>
      </c>
      <c r="I38" s="32" t="n">
        <v>0</v>
      </c>
      <c r="J38" s="11">
        <f>IF(C38="","",IF(AND(F38&lt;&gt;"Acquis",H38&lt;&gt;"",H38&lt;TODAY()),"À reprendre",IF(F38="À consolider","À consolider",IF(AND(F38="Non commencé",TODAY()&gt;=EDATE(Paramètres!$C$5,11),TODAY()&lt;EDATE(Paramètres!$C$5,13)),"Période en cours","OK"))))</f>
        <v/>
      </c>
      <c r="K38" s="32" t="inlineStr">
        <is>
          <t>Pas vu</t>
        </is>
      </c>
      <c r="L38" s="33" t="n"/>
      <c r="M38" s="35">
        <f>IF(C38="","",IF(AND(1&gt;=12,1&lt;=13),1,""))</f>
        <v/>
      </c>
      <c r="N38" s="35">
        <f>IF(C38="","",IF(AND(2&gt;=12,2&lt;=13),1,""))</f>
        <v/>
      </c>
      <c r="O38" s="35">
        <f>IF(C38="","",IF(AND(3&gt;=12,3&lt;=13),1,""))</f>
        <v/>
      </c>
      <c r="P38" s="35">
        <f>IF(C38="","",IF(AND(4&gt;=12,4&lt;=13),1,""))</f>
        <v/>
      </c>
      <c r="Q38" s="35">
        <f>IF(C38="","",IF(AND(5&gt;=12,5&lt;=13),1,""))</f>
        <v/>
      </c>
      <c r="R38" s="35">
        <f>IF(C38="","",IF(AND(6&gt;=12,6&lt;=13),1,""))</f>
        <v/>
      </c>
      <c r="S38" s="35">
        <f>IF(C38="","",IF(AND(7&gt;=12,7&lt;=13),1,""))</f>
        <v/>
      </c>
      <c r="T38" s="35">
        <f>IF(C38="","",IF(AND(8&gt;=12,8&lt;=13),1,""))</f>
        <v/>
      </c>
      <c r="U38" s="35">
        <f>IF(C38="","",IF(AND(9&gt;=12,9&lt;=13),1,""))</f>
        <v/>
      </c>
      <c r="V38" s="35">
        <f>IF(C38="","",IF(AND(10&gt;=12,10&lt;=13),1,""))</f>
        <v/>
      </c>
      <c r="W38" s="35">
        <f>IF(C38="","",IF(AND(11&gt;=12,11&lt;=13),1,""))</f>
        <v/>
      </c>
      <c r="X38" s="35">
        <f>IF(C38="","",IF(AND(12&gt;=12,12&lt;=13),1,""))</f>
        <v/>
      </c>
      <c r="Y38" s="35">
        <f>IF(C38="","",IF(AND(13&gt;=12,13&lt;=13),1,""))</f>
        <v/>
      </c>
    </row>
    <row r="39" ht="22" customHeight="1">
      <c r="B39" s="32" t="inlineStr">
        <is>
          <t>UE3</t>
        </is>
      </c>
      <c r="C39" s="33" t="inlineStr">
        <is>
          <t>Consolidation UE3 — annales</t>
        </is>
      </c>
      <c r="D39" s="32" t="inlineStr">
        <is>
          <t>Annales</t>
        </is>
      </c>
      <c r="E39" s="32" t="inlineStr">
        <is>
          <t>Moyenne</t>
        </is>
      </c>
      <c r="F39" s="32" t="inlineStr">
        <is>
          <t>Non commencé</t>
        </is>
      </c>
      <c r="G39" s="34" t="n"/>
      <c r="H39" s="25">
        <f>IF(C39="","",IF(G39="","",G39+Paramètres!$C$8))</f>
        <v/>
      </c>
      <c r="I39" s="32" t="n">
        <v>0</v>
      </c>
      <c r="J39" s="11">
        <f>IF(C39="","",IF(AND(F39&lt;&gt;"Acquis",H39&lt;&gt;"",H39&lt;TODAY()),"À reprendre",IF(F39="À consolider","À consolider",IF(AND(F39="Non commencé",TODAY()&gt;=EDATE(Paramètres!$C$5,11),TODAY()&lt;EDATE(Paramètres!$C$5,13)),"Période en cours","OK"))))</f>
        <v/>
      </c>
      <c r="K39" s="32" t="inlineStr">
        <is>
          <t>Pas vu</t>
        </is>
      </c>
      <c r="L39" s="33" t="n"/>
      <c r="M39" s="35">
        <f>IF(C39="","",IF(AND(1&gt;=12,1&lt;=13),1,""))</f>
        <v/>
      </c>
      <c r="N39" s="35">
        <f>IF(C39="","",IF(AND(2&gt;=12,2&lt;=13),1,""))</f>
        <v/>
      </c>
      <c r="O39" s="35">
        <f>IF(C39="","",IF(AND(3&gt;=12,3&lt;=13),1,""))</f>
        <v/>
      </c>
      <c r="P39" s="35">
        <f>IF(C39="","",IF(AND(4&gt;=12,4&lt;=13),1,""))</f>
        <v/>
      </c>
      <c r="Q39" s="35">
        <f>IF(C39="","",IF(AND(5&gt;=12,5&lt;=13),1,""))</f>
        <v/>
      </c>
      <c r="R39" s="35">
        <f>IF(C39="","",IF(AND(6&gt;=12,6&lt;=13),1,""))</f>
        <v/>
      </c>
      <c r="S39" s="35">
        <f>IF(C39="","",IF(AND(7&gt;=12,7&lt;=13),1,""))</f>
        <v/>
      </c>
      <c r="T39" s="35">
        <f>IF(C39="","",IF(AND(8&gt;=12,8&lt;=13),1,""))</f>
        <v/>
      </c>
      <c r="U39" s="35">
        <f>IF(C39="","",IF(AND(9&gt;=12,9&lt;=13),1,""))</f>
        <v/>
      </c>
      <c r="V39" s="35">
        <f>IF(C39="","",IF(AND(10&gt;=12,10&lt;=13),1,""))</f>
        <v/>
      </c>
      <c r="W39" s="35">
        <f>IF(C39="","",IF(AND(11&gt;=12,11&lt;=13),1,""))</f>
        <v/>
      </c>
      <c r="X39" s="35">
        <f>IF(C39="","",IF(AND(12&gt;=12,12&lt;=13),1,""))</f>
        <v/>
      </c>
      <c r="Y39" s="35">
        <f>IF(C39="","",IF(AND(13&gt;=12,13&lt;=13),1,""))</f>
        <v/>
      </c>
    </row>
    <row r="40" ht="22" customHeight="1">
      <c r="B40" s="32" t="inlineStr">
        <is>
          <t>TRANSVERSE</t>
        </is>
      </c>
      <c r="C40" s="33" t="inlineStr">
        <is>
          <t>Dernier mois — planning des trous</t>
        </is>
      </c>
      <c r="D40" s="32" t="inlineStr">
        <is>
          <t>Mixte</t>
        </is>
      </c>
      <c r="E40" s="32" t="inlineStr">
        <is>
          <t>Haute</t>
        </is>
      </c>
      <c r="F40" s="32" t="inlineStr">
        <is>
          <t>Non commencé</t>
        </is>
      </c>
      <c r="G40" s="34" t="n"/>
      <c r="H40" s="25">
        <f>IF(C40="","",IF(G40="","",G40+Paramètres!$C$8))</f>
        <v/>
      </c>
      <c r="I40" s="32" t="n">
        <v>0</v>
      </c>
      <c r="J40" s="11">
        <f>IF(C40="","",IF(AND(F40&lt;&gt;"Acquis",H40&lt;&gt;"",H40&lt;TODAY()),"À reprendre",IF(F40="À consolider","À consolider",IF(AND(F40="Non commencé",TODAY()&gt;=EDATE(Paramètres!$C$5,12),TODAY()&lt;EDATE(Paramètres!$C$5,13)),"Période en cours","OK"))))</f>
        <v/>
      </c>
      <c r="K40" s="32" t="inlineStr">
        <is>
          <t>Pas vu</t>
        </is>
      </c>
      <c r="L40" s="33" t="n"/>
      <c r="M40" s="35">
        <f>IF(C40="","",IF(AND(1&gt;=13,1&lt;=13),1,""))</f>
        <v/>
      </c>
      <c r="N40" s="35">
        <f>IF(C40="","",IF(AND(2&gt;=13,2&lt;=13),1,""))</f>
        <v/>
      </c>
      <c r="O40" s="35">
        <f>IF(C40="","",IF(AND(3&gt;=13,3&lt;=13),1,""))</f>
        <v/>
      </c>
      <c r="P40" s="35">
        <f>IF(C40="","",IF(AND(4&gt;=13,4&lt;=13),1,""))</f>
        <v/>
      </c>
      <c r="Q40" s="35">
        <f>IF(C40="","",IF(AND(5&gt;=13,5&lt;=13),1,""))</f>
        <v/>
      </c>
      <c r="R40" s="35">
        <f>IF(C40="","",IF(AND(6&gt;=13,6&lt;=13),1,""))</f>
        <v/>
      </c>
      <c r="S40" s="35">
        <f>IF(C40="","",IF(AND(7&gt;=13,7&lt;=13),1,""))</f>
        <v/>
      </c>
      <c r="T40" s="35">
        <f>IF(C40="","",IF(AND(8&gt;=13,8&lt;=13),1,""))</f>
        <v/>
      </c>
      <c r="U40" s="35">
        <f>IF(C40="","",IF(AND(9&gt;=13,9&lt;=13),1,""))</f>
        <v/>
      </c>
      <c r="V40" s="35">
        <f>IF(C40="","",IF(AND(10&gt;=13,10&lt;=13),1,""))</f>
        <v/>
      </c>
      <c r="W40" s="35">
        <f>IF(C40="","",IF(AND(11&gt;=13,11&lt;=13),1,""))</f>
        <v/>
      </c>
      <c r="X40" s="35">
        <f>IF(C40="","",IF(AND(12&gt;=13,12&lt;=13),1,""))</f>
        <v/>
      </c>
      <c r="Y40" s="35">
        <f>IF(C40="","",IF(AND(13&gt;=13,13&lt;=13),1,""))</f>
        <v/>
      </c>
    </row>
    <row r="41" ht="22" customHeight="1">
      <c r="B41" s="32" t="n"/>
      <c r="C41" s="33" t="n"/>
      <c r="D41" s="32" t="n"/>
      <c r="E41" s="32" t="n"/>
      <c r="F41" s="32" t="n"/>
      <c r="G41" s="34" t="n"/>
      <c r="H41" s="25">
        <f>IF(C41="","",IF(G41="","",G41+Paramètres!$C$8))</f>
        <v/>
      </c>
      <c r="I41" s="32" t="n"/>
      <c r="J41" s="11">
        <f>IF(C41="","",IF(AND(F41&lt;&gt;"Acquis",H41&lt;&gt;"",H41&lt;TODAY()),"À reprendre",IF(F41="À consolider","À consolider","OK")))</f>
        <v/>
      </c>
      <c r="K41" s="32" t="n"/>
      <c r="L41" s="33" t="n"/>
      <c r="M41" s="35">
        <f>""</f>
        <v/>
      </c>
      <c r="N41" s="35">
        <f>""</f>
        <v/>
      </c>
      <c r="O41" s="35">
        <f>""</f>
        <v/>
      </c>
      <c r="P41" s="35">
        <f>""</f>
        <v/>
      </c>
      <c r="Q41" s="35">
        <f>""</f>
        <v/>
      </c>
      <c r="R41" s="35">
        <f>""</f>
        <v/>
      </c>
      <c r="S41" s="35">
        <f>""</f>
        <v/>
      </c>
      <c r="T41" s="35">
        <f>""</f>
        <v/>
      </c>
      <c r="U41" s="35">
        <f>""</f>
        <v/>
      </c>
      <c r="V41" s="35">
        <f>""</f>
        <v/>
      </c>
      <c r="W41" s="35">
        <f>""</f>
        <v/>
      </c>
      <c r="X41" s="35">
        <f>""</f>
        <v/>
      </c>
      <c r="Y41" s="35">
        <f>""</f>
        <v/>
      </c>
    </row>
    <row r="42" ht="22" customHeight="1">
      <c r="B42" s="32" t="n"/>
      <c r="C42" s="33" t="n"/>
      <c r="D42" s="32" t="n"/>
      <c r="E42" s="32" t="n"/>
      <c r="F42" s="32" t="n"/>
      <c r="G42" s="34" t="n"/>
      <c r="H42" s="25">
        <f>IF(C42="","",IF(G42="","",G42+Paramètres!$C$8))</f>
        <v/>
      </c>
      <c r="I42" s="32" t="n"/>
      <c r="J42" s="11">
        <f>IF(C42="","",IF(AND(F42&lt;&gt;"Acquis",H42&lt;&gt;"",H42&lt;TODAY()),"À reprendre",IF(F42="À consolider","À consolider","OK")))</f>
        <v/>
      </c>
      <c r="K42" s="32" t="n"/>
      <c r="L42" s="33" t="n"/>
      <c r="M42" s="35">
        <f>""</f>
        <v/>
      </c>
      <c r="N42" s="35">
        <f>""</f>
        <v/>
      </c>
      <c r="O42" s="35">
        <f>""</f>
        <v/>
      </c>
      <c r="P42" s="35">
        <f>""</f>
        <v/>
      </c>
      <c r="Q42" s="35">
        <f>""</f>
        <v/>
      </c>
      <c r="R42" s="35">
        <f>""</f>
        <v/>
      </c>
      <c r="S42" s="35">
        <f>""</f>
        <v/>
      </c>
      <c r="T42" s="35">
        <f>""</f>
        <v/>
      </c>
      <c r="U42" s="35">
        <f>""</f>
        <v/>
      </c>
      <c r="V42" s="35">
        <f>""</f>
        <v/>
      </c>
      <c r="W42" s="35">
        <f>""</f>
        <v/>
      </c>
      <c r="X42" s="35">
        <f>""</f>
        <v/>
      </c>
      <c r="Y42" s="35">
        <f>""</f>
        <v/>
      </c>
    </row>
    <row r="43" ht="22" customHeight="1">
      <c r="B43" s="32" t="n"/>
      <c r="C43" s="33" t="n"/>
      <c r="D43" s="32" t="n"/>
      <c r="E43" s="32" t="n"/>
      <c r="F43" s="32" t="n"/>
      <c r="G43" s="34" t="n"/>
      <c r="H43" s="25">
        <f>IF(C43="","",IF(G43="","",G43+Paramètres!$C$8))</f>
        <v/>
      </c>
      <c r="I43" s="32" t="n"/>
      <c r="J43" s="11">
        <f>IF(C43="","",IF(AND(F43&lt;&gt;"Acquis",H43&lt;&gt;"",H43&lt;TODAY()),"À reprendre",IF(F43="À consolider","À consolider","OK")))</f>
        <v/>
      </c>
      <c r="K43" s="32" t="n"/>
      <c r="L43" s="33" t="n"/>
      <c r="M43" s="35">
        <f>""</f>
        <v/>
      </c>
      <c r="N43" s="35">
        <f>""</f>
        <v/>
      </c>
      <c r="O43" s="35">
        <f>""</f>
        <v/>
      </c>
      <c r="P43" s="35">
        <f>""</f>
        <v/>
      </c>
      <c r="Q43" s="35">
        <f>""</f>
        <v/>
      </c>
      <c r="R43" s="35">
        <f>""</f>
        <v/>
      </c>
      <c r="S43" s="35">
        <f>""</f>
        <v/>
      </c>
      <c r="T43" s="35">
        <f>""</f>
        <v/>
      </c>
      <c r="U43" s="35">
        <f>""</f>
        <v/>
      </c>
      <c r="V43" s="35">
        <f>""</f>
        <v/>
      </c>
      <c r="W43" s="35">
        <f>""</f>
        <v/>
      </c>
      <c r="X43" s="35">
        <f>""</f>
        <v/>
      </c>
      <c r="Y43" s="35">
        <f>""</f>
        <v/>
      </c>
    </row>
    <row r="44" ht="22" customHeight="1">
      <c r="B44" s="32" t="n"/>
      <c r="C44" s="33" t="n"/>
      <c r="D44" s="32" t="n"/>
      <c r="E44" s="32" t="n"/>
      <c r="F44" s="32" t="n"/>
      <c r="G44" s="34" t="n"/>
      <c r="H44" s="25">
        <f>IF(C44="","",IF(G44="","",G44+Paramètres!$C$8))</f>
        <v/>
      </c>
      <c r="I44" s="32" t="n"/>
      <c r="J44" s="11">
        <f>IF(C44="","",IF(AND(F44&lt;&gt;"Acquis",H44&lt;&gt;"",H44&lt;TODAY()),"À reprendre",IF(F44="À consolider","À consolider","OK")))</f>
        <v/>
      </c>
      <c r="K44" s="32" t="n"/>
      <c r="L44" s="33" t="n"/>
      <c r="M44" s="35">
        <f>""</f>
        <v/>
      </c>
      <c r="N44" s="35">
        <f>""</f>
        <v/>
      </c>
      <c r="O44" s="35">
        <f>""</f>
        <v/>
      </c>
      <c r="P44" s="35">
        <f>""</f>
        <v/>
      </c>
      <c r="Q44" s="35">
        <f>""</f>
        <v/>
      </c>
      <c r="R44" s="35">
        <f>""</f>
        <v/>
      </c>
      <c r="S44" s="35">
        <f>""</f>
        <v/>
      </c>
      <c r="T44" s="35">
        <f>""</f>
        <v/>
      </c>
      <c r="U44" s="35">
        <f>""</f>
        <v/>
      </c>
      <c r="V44" s="35">
        <f>""</f>
        <v/>
      </c>
      <c r="W44" s="35">
        <f>""</f>
        <v/>
      </c>
      <c r="X44" s="35">
        <f>""</f>
        <v/>
      </c>
      <c r="Y44" s="35">
        <f>""</f>
        <v/>
      </c>
    </row>
    <row r="45" ht="22" customHeight="1">
      <c r="B45" s="32" t="n"/>
      <c r="C45" s="33" t="n"/>
      <c r="D45" s="32" t="n"/>
      <c r="E45" s="32" t="n"/>
      <c r="F45" s="32" t="n"/>
      <c r="G45" s="34" t="n"/>
      <c r="H45" s="25">
        <f>IF(C45="","",IF(G45="","",G45+Paramètres!$C$8))</f>
        <v/>
      </c>
      <c r="I45" s="32" t="n"/>
      <c r="J45" s="11">
        <f>IF(C45="","",IF(AND(F45&lt;&gt;"Acquis",H45&lt;&gt;"",H45&lt;TODAY()),"À reprendre",IF(F45="À consolider","À consolider","OK")))</f>
        <v/>
      </c>
      <c r="K45" s="32" t="n"/>
      <c r="L45" s="33" t="n"/>
      <c r="M45" s="35">
        <f>""</f>
        <v/>
      </c>
      <c r="N45" s="35">
        <f>""</f>
        <v/>
      </c>
      <c r="O45" s="35">
        <f>""</f>
        <v/>
      </c>
      <c r="P45" s="35">
        <f>""</f>
        <v/>
      </c>
      <c r="Q45" s="35">
        <f>""</f>
        <v/>
      </c>
      <c r="R45" s="35">
        <f>""</f>
        <v/>
      </c>
      <c r="S45" s="35">
        <f>""</f>
        <v/>
      </c>
      <c r="T45" s="35">
        <f>""</f>
        <v/>
      </c>
      <c r="U45" s="35">
        <f>""</f>
        <v/>
      </c>
      <c r="V45" s="35">
        <f>""</f>
        <v/>
      </c>
      <c r="W45" s="35">
        <f>""</f>
        <v/>
      </c>
      <c r="X45" s="35">
        <f>""</f>
        <v/>
      </c>
      <c r="Y45" s="35">
        <f>""</f>
        <v/>
      </c>
    </row>
    <row r="46" ht="22" customHeight="1">
      <c r="B46" s="32" t="n"/>
      <c r="C46" s="33" t="n"/>
      <c r="D46" s="32" t="n"/>
      <c r="E46" s="32" t="n"/>
      <c r="F46" s="32" t="n"/>
      <c r="G46" s="34" t="n"/>
      <c r="H46" s="25">
        <f>IF(C46="","",IF(G46="","",G46+Paramètres!$C$8))</f>
        <v/>
      </c>
      <c r="I46" s="32" t="n"/>
      <c r="J46" s="11">
        <f>IF(C46="","",IF(AND(F46&lt;&gt;"Acquis",H46&lt;&gt;"",H46&lt;TODAY()),"À reprendre",IF(F46="À consolider","À consolider","OK")))</f>
        <v/>
      </c>
      <c r="K46" s="32" t="n"/>
      <c r="L46" s="33" t="n"/>
      <c r="M46" s="35">
        <f>""</f>
        <v/>
      </c>
      <c r="N46" s="35">
        <f>""</f>
        <v/>
      </c>
      <c r="O46" s="35">
        <f>""</f>
        <v/>
      </c>
      <c r="P46" s="35">
        <f>""</f>
        <v/>
      </c>
      <c r="Q46" s="35">
        <f>""</f>
        <v/>
      </c>
      <c r="R46" s="35">
        <f>""</f>
        <v/>
      </c>
      <c r="S46" s="35">
        <f>""</f>
        <v/>
      </c>
      <c r="T46" s="35">
        <f>""</f>
        <v/>
      </c>
      <c r="U46" s="35">
        <f>""</f>
        <v/>
      </c>
      <c r="V46" s="35">
        <f>""</f>
        <v/>
      </c>
      <c r="W46" s="35">
        <f>""</f>
        <v/>
      </c>
      <c r="X46" s="35">
        <f>""</f>
        <v/>
      </c>
      <c r="Y46" s="35">
        <f>""</f>
        <v/>
      </c>
    </row>
    <row r="47" ht="22" customHeight="1">
      <c r="B47" s="32" t="n"/>
      <c r="C47" s="33" t="n"/>
      <c r="D47" s="32" t="n"/>
      <c r="E47" s="32" t="n"/>
      <c r="F47" s="32" t="n"/>
      <c r="G47" s="34" t="n"/>
      <c r="H47" s="25">
        <f>IF(C47="","",IF(G47="","",G47+Paramètres!$C$8))</f>
        <v/>
      </c>
      <c r="I47" s="32" t="n"/>
      <c r="J47" s="11">
        <f>IF(C47="","",IF(AND(F47&lt;&gt;"Acquis",H47&lt;&gt;"",H47&lt;TODAY()),"À reprendre",IF(F47="À consolider","À consolider","OK")))</f>
        <v/>
      </c>
      <c r="K47" s="32" t="n"/>
      <c r="L47" s="33" t="n"/>
      <c r="M47" s="35">
        <f>""</f>
        <v/>
      </c>
      <c r="N47" s="35">
        <f>""</f>
        <v/>
      </c>
      <c r="O47" s="35">
        <f>""</f>
        <v/>
      </c>
      <c r="P47" s="35">
        <f>""</f>
        <v/>
      </c>
      <c r="Q47" s="35">
        <f>""</f>
        <v/>
      </c>
      <c r="R47" s="35">
        <f>""</f>
        <v/>
      </c>
      <c r="S47" s="35">
        <f>""</f>
        <v/>
      </c>
      <c r="T47" s="35">
        <f>""</f>
        <v/>
      </c>
      <c r="U47" s="35">
        <f>""</f>
        <v/>
      </c>
      <c r="V47" s="35">
        <f>""</f>
        <v/>
      </c>
      <c r="W47" s="35">
        <f>""</f>
        <v/>
      </c>
      <c r="X47" s="35">
        <f>""</f>
        <v/>
      </c>
      <c r="Y47" s="35">
        <f>""</f>
        <v/>
      </c>
    </row>
    <row r="48" ht="22" customHeight="1">
      <c r="B48" s="32" t="n"/>
      <c r="C48" s="33" t="n"/>
      <c r="D48" s="32" t="n"/>
      <c r="E48" s="32" t="n"/>
      <c r="F48" s="32" t="n"/>
      <c r="G48" s="34" t="n"/>
      <c r="H48" s="25">
        <f>IF(C48="","",IF(G48="","",G48+Paramètres!$C$8))</f>
        <v/>
      </c>
      <c r="I48" s="32" t="n"/>
      <c r="J48" s="11">
        <f>IF(C48="","",IF(AND(F48&lt;&gt;"Acquis",H48&lt;&gt;"",H48&lt;TODAY()),"À reprendre",IF(F48="À consolider","À consolider","OK")))</f>
        <v/>
      </c>
      <c r="K48" s="32" t="n"/>
      <c r="L48" s="33" t="n"/>
      <c r="M48" s="35">
        <f>""</f>
        <v/>
      </c>
      <c r="N48" s="35">
        <f>""</f>
        <v/>
      </c>
      <c r="O48" s="35">
        <f>""</f>
        <v/>
      </c>
      <c r="P48" s="35">
        <f>""</f>
        <v/>
      </c>
      <c r="Q48" s="35">
        <f>""</f>
        <v/>
      </c>
      <c r="R48" s="35">
        <f>""</f>
        <v/>
      </c>
      <c r="S48" s="35">
        <f>""</f>
        <v/>
      </c>
      <c r="T48" s="35">
        <f>""</f>
        <v/>
      </c>
      <c r="U48" s="35">
        <f>""</f>
        <v/>
      </c>
      <c r="V48" s="35">
        <f>""</f>
        <v/>
      </c>
      <c r="W48" s="35">
        <f>""</f>
        <v/>
      </c>
      <c r="X48" s="35">
        <f>""</f>
        <v/>
      </c>
      <c r="Y48" s="35">
        <f>""</f>
        <v/>
      </c>
    </row>
    <row r="49" ht="22" customHeight="1">
      <c r="B49" s="32" t="n"/>
      <c r="C49" s="33" t="n"/>
      <c r="D49" s="32" t="n"/>
      <c r="E49" s="32" t="n"/>
      <c r="F49" s="32" t="n"/>
      <c r="G49" s="34" t="n"/>
      <c r="H49" s="25">
        <f>IF(C49="","",IF(G49="","",G49+Paramètres!$C$8))</f>
        <v/>
      </c>
      <c r="I49" s="32" t="n"/>
      <c r="J49" s="11">
        <f>IF(C49="","",IF(AND(F49&lt;&gt;"Acquis",H49&lt;&gt;"",H49&lt;TODAY()),"À reprendre",IF(F49="À consolider","À consolider","OK")))</f>
        <v/>
      </c>
      <c r="K49" s="32" t="n"/>
      <c r="L49" s="33" t="n"/>
      <c r="M49" s="35">
        <f>""</f>
        <v/>
      </c>
      <c r="N49" s="35">
        <f>""</f>
        <v/>
      </c>
      <c r="O49" s="35">
        <f>""</f>
        <v/>
      </c>
      <c r="P49" s="35">
        <f>""</f>
        <v/>
      </c>
      <c r="Q49" s="35">
        <f>""</f>
        <v/>
      </c>
      <c r="R49" s="35">
        <f>""</f>
        <v/>
      </c>
      <c r="S49" s="35">
        <f>""</f>
        <v/>
      </c>
      <c r="T49" s="35">
        <f>""</f>
        <v/>
      </c>
      <c r="U49" s="35">
        <f>""</f>
        <v/>
      </c>
      <c r="V49" s="35">
        <f>""</f>
        <v/>
      </c>
      <c r="W49" s="35">
        <f>""</f>
        <v/>
      </c>
      <c r="X49" s="35">
        <f>""</f>
        <v/>
      </c>
      <c r="Y49" s="35">
        <f>""</f>
        <v/>
      </c>
    </row>
    <row r="50" ht="22" customHeight="1">
      <c r="B50" s="32" t="n"/>
      <c r="C50" s="33" t="n"/>
      <c r="D50" s="32" t="n"/>
      <c r="E50" s="32" t="n"/>
      <c r="F50" s="32" t="n"/>
      <c r="G50" s="34" t="n"/>
      <c r="H50" s="25">
        <f>IF(C50="","",IF(G50="","",G50+Paramètres!$C$8))</f>
        <v/>
      </c>
      <c r="I50" s="32" t="n"/>
      <c r="J50" s="11">
        <f>IF(C50="","",IF(AND(F50&lt;&gt;"Acquis",H50&lt;&gt;"",H50&lt;TODAY()),"À reprendre",IF(F50="À consolider","À consolider","OK")))</f>
        <v/>
      </c>
      <c r="K50" s="32" t="n"/>
      <c r="L50" s="33" t="n"/>
      <c r="M50" s="35">
        <f>""</f>
        <v/>
      </c>
      <c r="N50" s="35">
        <f>""</f>
        <v/>
      </c>
      <c r="O50" s="35">
        <f>""</f>
        <v/>
      </c>
      <c r="P50" s="35">
        <f>""</f>
        <v/>
      </c>
      <c r="Q50" s="35">
        <f>""</f>
        <v/>
      </c>
      <c r="R50" s="35">
        <f>""</f>
        <v/>
      </c>
      <c r="S50" s="35">
        <f>""</f>
        <v/>
      </c>
      <c r="T50" s="35">
        <f>""</f>
        <v/>
      </c>
      <c r="U50" s="35">
        <f>""</f>
        <v/>
      </c>
      <c r="V50" s="35">
        <f>""</f>
        <v/>
      </c>
      <c r="W50" s="35">
        <f>""</f>
        <v/>
      </c>
      <c r="X50" s="35">
        <f>""</f>
        <v/>
      </c>
      <c r="Y50" s="35">
        <f>""</f>
        <v/>
      </c>
    </row>
    <row r="51" ht="22" customHeight="1">
      <c r="B51" s="32" t="n"/>
      <c r="C51" s="33" t="n"/>
      <c r="D51" s="32" t="n"/>
      <c r="E51" s="32" t="n"/>
      <c r="F51" s="32" t="n"/>
      <c r="G51" s="34" t="n"/>
      <c r="H51" s="25">
        <f>IF(C51="","",IF(G51="","",G51+Paramètres!$C$8))</f>
        <v/>
      </c>
      <c r="I51" s="32" t="n"/>
      <c r="J51" s="11">
        <f>IF(C51="","",IF(AND(F51&lt;&gt;"Acquis",H51&lt;&gt;"",H51&lt;TODAY()),"À reprendre",IF(F51="À consolider","À consolider","OK")))</f>
        <v/>
      </c>
      <c r="K51" s="32" t="n"/>
      <c r="L51" s="33" t="n"/>
      <c r="M51" s="35">
        <f>""</f>
        <v/>
      </c>
      <c r="N51" s="35">
        <f>""</f>
        <v/>
      </c>
      <c r="O51" s="35">
        <f>""</f>
        <v/>
      </c>
      <c r="P51" s="35">
        <f>""</f>
        <v/>
      </c>
      <c r="Q51" s="35">
        <f>""</f>
        <v/>
      </c>
      <c r="R51" s="35">
        <f>""</f>
        <v/>
      </c>
      <c r="S51" s="35">
        <f>""</f>
        <v/>
      </c>
      <c r="T51" s="35">
        <f>""</f>
        <v/>
      </c>
      <c r="U51" s="35">
        <f>""</f>
        <v/>
      </c>
      <c r="V51" s="35">
        <f>""</f>
        <v/>
      </c>
      <c r="W51" s="35">
        <f>""</f>
        <v/>
      </c>
      <c r="X51" s="35">
        <f>""</f>
        <v/>
      </c>
      <c r="Y51" s="35">
        <f>""</f>
        <v/>
      </c>
    </row>
    <row r="52" ht="22" customHeight="1">
      <c r="B52" s="32" t="n"/>
      <c r="C52" s="33" t="n"/>
      <c r="D52" s="32" t="n"/>
      <c r="E52" s="32" t="n"/>
      <c r="F52" s="32" t="n"/>
      <c r="G52" s="34" t="n"/>
      <c r="H52" s="25">
        <f>IF(C52="","",IF(G52="","",G52+Paramètres!$C$8))</f>
        <v/>
      </c>
      <c r="I52" s="32" t="n"/>
      <c r="J52" s="11">
        <f>IF(C52="","",IF(AND(F52&lt;&gt;"Acquis",H52&lt;&gt;"",H52&lt;TODAY()),"À reprendre",IF(F52="À consolider","À consolider","OK")))</f>
        <v/>
      </c>
      <c r="K52" s="32" t="n"/>
      <c r="L52" s="33" t="n"/>
      <c r="M52" s="35">
        <f>""</f>
        <v/>
      </c>
      <c r="N52" s="35">
        <f>""</f>
        <v/>
      </c>
      <c r="O52" s="35">
        <f>""</f>
        <v/>
      </c>
      <c r="P52" s="35">
        <f>""</f>
        <v/>
      </c>
      <c r="Q52" s="35">
        <f>""</f>
        <v/>
      </c>
      <c r="R52" s="35">
        <f>""</f>
        <v/>
      </c>
      <c r="S52" s="35">
        <f>""</f>
        <v/>
      </c>
      <c r="T52" s="35">
        <f>""</f>
        <v/>
      </c>
      <c r="U52" s="35">
        <f>""</f>
        <v/>
      </c>
      <c r="V52" s="35">
        <f>""</f>
        <v/>
      </c>
      <c r="W52" s="35">
        <f>""</f>
        <v/>
      </c>
      <c r="X52" s="35">
        <f>""</f>
        <v/>
      </c>
      <c r="Y52" s="35">
        <f>""</f>
        <v/>
      </c>
    </row>
    <row r="53" ht="22" customHeight="1">
      <c r="B53" s="32" t="n"/>
      <c r="C53" s="33" t="n"/>
      <c r="D53" s="32" t="n"/>
      <c r="E53" s="32" t="n"/>
      <c r="F53" s="32" t="n"/>
      <c r="G53" s="34" t="n"/>
      <c r="H53" s="25">
        <f>IF(C53="","",IF(G53="","",G53+Paramètres!$C$8))</f>
        <v/>
      </c>
      <c r="I53" s="32" t="n"/>
      <c r="J53" s="11">
        <f>IF(C53="","",IF(AND(F53&lt;&gt;"Acquis",H53&lt;&gt;"",H53&lt;TODAY()),"À reprendre",IF(F53="À consolider","À consolider","OK")))</f>
        <v/>
      </c>
      <c r="K53" s="32" t="n"/>
      <c r="L53" s="33" t="n"/>
      <c r="M53" s="35">
        <f>""</f>
        <v/>
      </c>
      <c r="N53" s="35">
        <f>""</f>
        <v/>
      </c>
      <c r="O53" s="35">
        <f>""</f>
        <v/>
      </c>
      <c r="P53" s="35">
        <f>""</f>
        <v/>
      </c>
      <c r="Q53" s="35">
        <f>""</f>
        <v/>
      </c>
      <c r="R53" s="35">
        <f>""</f>
        <v/>
      </c>
      <c r="S53" s="35">
        <f>""</f>
        <v/>
      </c>
      <c r="T53" s="35">
        <f>""</f>
        <v/>
      </c>
      <c r="U53" s="35">
        <f>""</f>
        <v/>
      </c>
      <c r="V53" s="35">
        <f>""</f>
        <v/>
      </c>
      <c r="W53" s="35">
        <f>""</f>
        <v/>
      </c>
      <c r="X53" s="35">
        <f>""</f>
        <v/>
      </c>
      <c r="Y53" s="35">
        <f>""</f>
        <v/>
      </c>
    </row>
    <row r="54" ht="22" customHeight="1">
      <c r="B54" s="32" t="n"/>
      <c r="C54" s="33" t="n"/>
      <c r="D54" s="32" t="n"/>
      <c r="E54" s="32" t="n"/>
      <c r="F54" s="32" t="n"/>
      <c r="G54" s="34" t="n"/>
      <c r="H54" s="25">
        <f>IF(C54="","",IF(G54="","",G54+Paramètres!$C$8))</f>
        <v/>
      </c>
      <c r="I54" s="32" t="n"/>
      <c r="J54" s="11">
        <f>IF(C54="","",IF(AND(F54&lt;&gt;"Acquis",H54&lt;&gt;"",H54&lt;TODAY()),"À reprendre",IF(F54="À consolider","À consolider","OK")))</f>
        <v/>
      </c>
      <c r="K54" s="32" t="n"/>
      <c r="L54" s="33" t="n"/>
      <c r="M54" s="35">
        <f>""</f>
        <v/>
      </c>
      <c r="N54" s="35">
        <f>""</f>
        <v/>
      </c>
      <c r="O54" s="35">
        <f>""</f>
        <v/>
      </c>
      <c r="P54" s="35">
        <f>""</f>
        <v/>
      </c>
      <c r="Q54" s="35">
        <f>""</f>
        <v/>
      </c>
      <c r="R54" s="35">
        <f>""</f>
        <v/>
      </c>
      <c r="S54" s="35">
        <f>""</f>
        <v/>
      </c>
      <c r="T54" s="35">
        <f>""</f>
        <v/>
      </c>
      <c r="U54" s="35">
        <f>""</f>
        <v/>
      </c>
      <c r="V54" s="35">
        <f>""</f>
        <v/>
      </c>
      <c r="W54" s="35">
        <f>""</f>
        <v/>
      </c>
      <c r="X54" s="35">
        <f>""</f>
        <v/>
      </c>
      <c r="Y54" s="35">
        <f>""</f>
        <v/>
      </c>
    </row>
    <row r="56">
      <c r="B56" s="36" t="inlineStr">
        <is>
          <t>Légende</t>
        </is>
      </c>
      <c r="C56" s="37" t="inlineStr">
        <is>
          <t>Non commencé</t>
        </is>
      </c>
      <c r="D56" s="38" t="inlineStr">
        <is>
          <t>En cours</t>
        </is>
      </c>
      <c r="E56" s="39" t="inlineStr">
        <is>
          <t>Vu une fois</t>
        </is>
      </c>
      <c r="F56" s="40" t="inlineStr">
        <is>
          <t>À consolider</t>
        </is>
      </c>
      <c r="G56" s="41" t="inlineStr">
        <is>
          <t>Acquis</t>
        </is>
      </c>
    </row>
    <row r="58">
      <c r="B58" s="42" t="inlineStr">
        <is>
          <t>Routine dimanche (5 min) : filtre Alerte ≠ OK → choisis 2 thèmes max → après chaque séance : Maîtrise + Dernière rév. + Nb passages + Étape.</t>
        </is>
      </c>
    </row>
  </sheetData>
  <mergeCells count="3">
    <mergeCell ref="B2:L2"/>
    <mergeCell ref="B58:L58"/>
    <mergeCell ref="B3:L3"/>
  </mergeCells>
  <conditionalFormatting sqref="M5:Y54">
    <cfRule type="expression" priority="1" dxfId="0">
      <formula>AND(M5=1,$F5="Acquis")</formula>
    </cfRule>
    <cfRule type="expression" priority="2" dxfId="1">
      <formula>AND(M5=1,$F5="À consolider")</formula>
    </cfRule>
    <cfRule type="expression" priority="3" dxfId="2">
      <formula>AND(M5=1,$F5="Vu une fois")</formula>
    </cfRule>
    <cfRule type="expression" priority="4" dxfId="3">
      <formula>AND(M5=1,$F5="En cours")</formula>
    </cfRule>
    <cfRule type="expression" priority="5" dxfId="4">
      <formula>AND(M5=1,$F5="Non commencé")</formula>
    </cfRule>
  </conditionalFormatting>
  <conditionalFormatting sqref="F5:F54">
    <cfRule type="cellIs" priority="6" operator="equal" dxfId="5">
      <formula>"Acquis"</formula>
    </cfRule>
    <cfRule type="cellIs" priority="7" operator="equal" dxfId="6">
      <formula>"En cours"</formula>
    </cfRule>
    <cfRule type="cellIs" priority="8" operator="equal" dxfId="7">
      <formula>"Vu une fois"</formula>
    </cfRule>
    <cfRule type="cellIs" priority="9" operator="equal" dxfId="8">
      <formula>"À consolider"</formula>
    </cfRule>
    <cfRule type="cellIs" priority="10" operator="equal" dxfId="9">
      <formula>"Non commencé"</formula>
    </cfRule>
  </conditionalFormatting>
  <conditionalFormatting sqref="J5:J54">
    <cfRule type="cellIs" priority="11" operator="equal" dxfId="8">
      <formula>"À reprendre"</formula>
    </cfRule>
    <cfRule type="cellIs" priority="12" operator="equal" dxfId="6">
      <formula>"Période en cours"</formula>
    </cfRule>
    <cfRule type="cellIs" priority="13" operator="equal" dxfId="8">
      <formula>"À consolider"</formula>
    </cfRule>
    <cfRule type="cellIs" priority="14" operator="equal" dxfId="5">
      <formula>"OK"</formula>
    </cfRule>
  </conditionalFormatting>
  <conditionalFormatting sqref="E5:E54">
    <cfRule type="cellIs" priority="15" operator="equal" dxfId="8">
      <formula>"Haute"</formula>
    </cfRule>
    <cfRule type="cellIs" priority="16" operator="equal" dxfId="6">
      <formula>"Moyenne"</formula>
    </cfRule>
    <cfRule type="cellIs" priority="17" operator="equal" dxfId="5">
      <formula>"Basse"</formula>
    </cfRule>
  </conditionalFormatting>
  <dataValidations count="5">
    <dataValidation sqref="F5 F6 F7 F8 F9 F10 F11 F12 F13 F14 F15 F16 F17 F18 F19 F20 F21 F22 F23 F24 F25 F26 F27 F28 F29 F30 F31 F32 F33 F34 F35 F36 F37 F38 F39 F40 F41 F42 F43 F44 F45 F46 F47 F48 F49 F50 F51 F52 F53 F54" showDropDown="0" showInputMessage="0" showErrorMessage="0" allowBlank="1" type="list">
      <formula1>"Non commencé,En cours,Vu une fois,À consolider,Acquis"</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"Haute,Moyenne,Basse"</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1" type="list">
      <formula1>"Cours,Exercices,Fiches,Annales,Relecture,Mixte"</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1" type="list">
      <formula1>"Pas vu,Cours OK,Fiche OK,Exos OK,Reprise OK"</formula1>
    </dataValidation>
    <dataValidation sqref="B5 B6 B7 B8 B9 B10 B11 B12 B13 B14 B15 B16 B17 B18 B19 B20 B21 B22 B23 B24 B25 B26 B27 B28 B29 B30 B31 B32 B33 B34 B35 B36 B37 B38 B39 B40 B41 B42 B43 B44 B45 B46 B47 B48 B49 B50 B51 B52 B53 B54" showDropDown="0" showInputMessage="0" showErrorMessage="0" allowBlank="1" type="list">
      <formula1>"UE1,UE2,UE3,UE4,UE5,UE6,UE7,TRANSVERSE"</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B2:I32"/>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4" customWidth="1" min="5" max="5"/>
    <col width="16" customWidth="1" min="6" max="6"/>
    <col width="14" customWidth="1" min="7" max="7"/>
    <col width="18" customWidth="1" min="8" max="8"/>
    <col width="12" customWidth="1" min="9" max="9"/>
  </cols>
  <sheetData>
    <row r="2">
      <c r="B2" s="7" t="inlineStr">
        <is>
          <t>Tableau de bord — où j'en suis</t>
        </is>
      </c>
    </row>
    <row r="3">
      <c r="B3" s="43">
        <f>CONCATENATE("Année : ",TEXT(Paramètres!C5,"DD/MM/YYYY")," → examen ",TEXT(Paramètres!C6,"DD/MM/YYYY"))</f>
        <v/>
      </c>
    </row>
    <row r="5">
      <c r="B5" s="44" t="inlineStr">
        <is>
          <t>Thèmes suivis</t>
        </is>
      </c>
      <c r="C5" s="45">
        <f>COUNTA('Planning Gantt'!C5:C54)</f>
        <v/>
      </c>
      <c r="H5" s="10" t="inlineStr">
        <is>
          <t>Maîtrise</t>
        </is>
      </c>
      <c r="I5" s="10" t="inlineStr">
        <is>
          <t>Nombre</t>
        </is>
      </c>
    </row>
    <row r="6">
      <c r="B6" s="44" t="inlineStr">
        <is>
          <t>Acquis</t>
        </is>
      </c>
      <c r="C6" s="45">
        <f>COUNTIF('Planning Gantt'!F5:F54,"Acquis")</f>
        <v/>
      </c>
      <c r="H6" s="13" t="inlineStr">
        <is>
          <t>Non commencé</t>
        </is>
      </c>
      <c r="I6" s="11">
        <f>COUNTIF('Planning Gantt'!F:F,H6)</f>
        <v/>
      </c>
    </row>
    <row r="7">
      <c r="B7" s="44" t="inlineStr">
        <is>
          <t>À consolider</t>
        </is>
      </c>
      <c r="C7" s="45">
        <f>COUNTIF('Planning Gantt'!F5:F54,"À consolider")</f>
        <v/>
      </c>
      <c r="H7" s="13" t="inlineStr">
        <is>
          <t>En cours</t>
        </is>
      </c>
      <c r="I7" s="11">
        <f>COUNTIF('Planning Gantt'!F:F,H7)</f>
        <v/>
      </c>
    </row>
    <row r="8">
      <c r="B8" s="44" t="inlineStr">
        <is>
          <t>Alertes actives</t>
        </is>
      </c>
      <c r="C8" s="45">
        <f>COUNTIF('Planning Gantt'!J5:J54,"À reprendre")+COUNTIF('Planning Gantt'!J5:J54,"Période en cours")+COUNTIF('Planning Gantt'!J5:J54,"À consolider")</f>
        <v/>
      </c>
      <c r="H8" s="13" t="inlineStr">
        <is>
          <t>Vu une fois</t>
        </is>
      </c>
      <c r="I8" s="11">
        <f>COUNTIF('Planning Gantt'!F:F,H8)</f>
        <v/>
      </c>
    </row>
    <row r="9">
      <c r="B9" s="44" t="inlineStr">
        <is>
          <t>Passages cumulés</t>
        </is>
      </c>
      <c r="C9" s="45">
        <f>SUM('Planning Gantt'!I5:I54)</f>
        <v/>
      </c>
      <c r="H9" s="13" t="inlineStr">
        <is>
          <t>À consolider</t>
        </is>
      </c>
      <c r="I9" s="11">
        <f>COUNTIF('Planning Gantt'!F:F,H9)</f>
        <v/>
      </c>
    </row>
    <row r="10">
      <c r="H10" s="13" t="inlineStr">
        <is>
          <t>Acquis</t>
        </is>
      </c>
      <c r="I10" s="11">
        <f>COUNTIF('Planning Gantt'!F:F,H10)</f>
        <v/>
      </c>
    </row>
    <row r="11">
      <c r="B11" s="9" t="inlineStr">
        <is>
          <t>Couverture par UE</t>
        </is>
      </c>
    </row>
    <row r="12">
      <c r="B12" s="10" t="inlineStr">
        <is>
          <t>UE</t>
        </is>
      </c>
      <c r="C12" s="10" t="inlineStr">
        <is>
          <t>Nb thèmes</t>
        </is>
      </c>
      <c r="D12" s="10" t="inlineStr">
        <is>
          <t>Acquis</t>
        </is>
      </c>
      <c r="E12" s="10" t="inlineStr">
        <is>
          <t>À consolider</t>
        </is>
      </c>
      <c r="F12" s="10" t="inlineStr">
        <is>
          <t>Non commencé</t>
        </is>
      </c>
      <c r="G12" s="10" t="inlineStr">
        <is>
          <t>% acquis</t>
        </is>
      </c>
    </row>
    <row r="13">
      <c r="B13" s="13" t="inlineStr">
        <is>
          <t>UE1</t>
        </is>
      </c>
      <c r="C13" s="11">
        <f>COUNTIF('Planning Gantt'!B:B,B13)</f>
        <v/>
      </c>
      <c r="D13" s="11">
        <f>COUNTIFS('Planning Gantt'!B:B,B13,'Planning Gantt'!F:F,"Acquis")</f>
        <v/>
      </c>
      <c r="E13" s="11">
        <f>COUNTIFS('Planning Gantt'!B:B,B13,'Planning Gantt'!F:F,"À consolider")</f>
        <v/>
      </c>
      <c r="F13" s="11">
        <f>COUNTIFS('Planning Gantt'!B:B,B13,'Planning Gantt'!F:F,"Non commencé")</f>
        <v/>
      </c>
      <c r="G13" s="46">
        <f>IF(C13=0,"",D13/C13)</f>
        <v/>
      </c>
    </row>
    <row r="14">
      <c r="B14" s="28" t="inlineStr">
        <is>
          <t>UE2</t>
        </is>
      </c>
      <c r="C14" s="26">
        <f>COUNTIF('Planning Gantt'!B:B,B14)</f>
        <v/>
      </c>
      <c r="D14" s="26">
        <f>COUNTIFS('Planning Gantt'!B:B,B14,'Planning Gantt'!F:F,"Acquis")</f>
        <v/>
      </c>
      <c r="E14" s="26">
        <f>COUNTIFS('Planning Gantt'!B:B,B14,'Planning Gantt'!F:F,"À consolider")</f>
        <v/>
      </c>
      <c r="F14" s="26">
        <f>COUNTIFS('Planning Gantt'!B:B,B14,'Planning Gantt'!F:F,"Non commencé")</f>
        <v/>
      </c>
      <c r="G14" s="47">
        <f>IF(C14=0,"",D14/C14)</f>
        <v/>
      </c>
    </row>
    <row r="15">
      <c r="B15" s="13" t="inlineStr">
        <is>
          <t>UE3</t>
        </is>
      </c>
      <c r="C15" s="11">
        <f>COUNTIF('Planning Gantt'!B:B,B15)</f>
        <v/>
      </c>
      <c r="D15" s="11">
        <f>COUNTIFS('Planning Gantt'!B:B,B15,'Planning Gantt'!F:F,"Acquis")</f>
        <v/>
      </c>
      <c r="E15" s="11">
        <f>COUNTIFS('Planning Gantt'!B:B,B15,'Planning Gantt'!F:F,"À consolider")</f>
        <v/>
      </c>
      <c r="F15" s="11">
        <f>COUNTIFS('Planning Gantt'!B:B,B15,'Planning Gantt'!F:F,"Non commencé")</f>
        <v/>
      </c>
      <c r="G15" s="46">
        <f>IF(C15=0,"",D15/C15)</f>
        <v/>
      </c>
    </row>
    <row r="16">
      <c r="B16" s="28" t="inlineStr">
        <is>
          <t>UE4</t>
        </is>
      </c>
      <c r="C16" s="26">
        <f>COUNTIF('Planning Gantt'!B:B,B16)</f>
        <v/>
      </c>
      <c r="D16" s="26">
        <f>COUNTIFS('Planning Gantt'!B:B,B16,'Planning Gantt'!F:F,"Acquis")</f>
        <v/>
      </c>
      <c r="E16" s="26">
        <f>COUNTIFS('Planning Gantt'!B:B,B16,'Planning Gantt'!F:F,"À consolider")</f>
        <v/>
      </c>
      <c r="F16" s="26">
        <f>COUNTIFS('Planning Gantt'!B:B,B16,'Planning Gantt'!F:F,"Non commencé")</f>
        <v/>
      </c>
      <c r="G16" s="47">
        <f>IF(C16=0,"",D16/C16)</f>
        <v/>
      </c>
    </row>
    <row r="17">
      <c r="B17" s="13" t="inlineStr">
        <is>
          <t>UE5</t>
        </is>
      </c>
      <c r="C17" s="11">
        <f>COUNTIF('Planning Gantt'!B:B,B17)</f>
        <v/>
      </c>
      <c r="D17" s="11">
        <f>COUNTIFS('Planning Gantt'!B:B,B17,'Planning Gantt'!F:F,"Acquis")</f>
        <v/>
      </c>
      <c r="E17" s="11">
        <f>COUNTIFS('Planning Gantt'!B:B,B17,'Planning Gantt'!F:F,"À consolider")</f>
        <v/>
      </c>
      <c r="F17" s="11">
        <f>COUNTIFS('Planning Gantt'!B:B,B17,'Planning Gantt'!F:F,"Non commencé")</f>
        <v/>
      </c>
      <c r="G17" s="46">
        <f>IF(C17=0,"",D17/C17)</f>
        <v/>
      </c>
    </row>
    <row r="18">
      <c r="B18" s="28" t="inlineStr">
        <is>
          <t>UE6</t>
        </is>
      </c>
      <c r="C18" s="26">
        <f>COUNTIF('Planning Gantt'!B:B,B18)</f>
        <v/>
      </c>
      <c r="D18" s="26">
        <f>COUNTIFS('Planning Gantt'!B:B,B18,'Planning Gantt'!F:F,"Acquis")</f>
        <v/>
      </c>
      <c r="E18" s="26">
        <f>COUNTIFS('Planning Gantt'!B:B,B18,'Planning Gantt'!F:F,"À consolider")</f>
        <v/>
      </c>
      <c r="F18" s="26">
        <f>COUNTIFS('Planning Gantt'!B:B,B18,'Planning Gantt'!F:F,"Non commencé")</f>
        <v/>
      </c>
      <c r="G18" s="47">
        <f>IF(C18=0,"",D18/C18)</f>
        <v/>
      </c>
    </row>
    <row r="19">
      <c r="B19" s="13" t="inlineStr">
        <is>
          <t>UE7</t>
        </is>
      </c>
      <c r="C19" s="11">
        <f>COUNTIF('Planning Gantt'!B:B,B19)</f>
        <v/>
      </c>
      <c r="D19" s="11">
        <f>COUNTIFS('Planning Gantt'!B:B,B19,'Planning Gantt'!F:F,"Acquis")</f>
        <v/>
      </c>
      <c r="E19" s="11">
        <f>COUNTIFS('Planning Gantt'!B:B,B19,'Planning Gantt'!F:F,"À consolider")</f>
        <v/>
      </c>
      <c r="F19" s="11">
        <f>COUNTIFS('Planning Gantt'!B:B,B19,'Planning Gantt'!F:F,"Non commencé")</f>
        <v/>
      </c>
      <c r="G19" s="46">
        <f>IF(C19=0,"",D19/C19)</f>
        <v/>
      </c>
    </row>
    <row r="20">
      <c r="B20" s="28" t="inlineStr">
        <is>
          <t>TRANSVERSE</t>
        </is>
      </c>
      <c r="C20" s="26">
        <f>COUNTIF('Planning Gantt'!B:B,B20)</f>
        <v/>
      </c>
      <c r="D20" s="26">
        <f>COUNTIFS('Planning Gantt'!B:B,B20,'Planning Gantt'!F:F,"Acquis")</f>
        <v/>
      </c>
      <c r="E20" s="26">
        <f>COUNTIFS('Planning Gantt'!B:B,B20,'Planning Gantt'!F:F,"À consolider")</f>
        <v/>
      </c>
      <c r="F20" s="26">
        <f>COUNTIFS('Planning Gantt'!B:B,B20,'Planning Gantt'!F:F,"Non commencé")</f>
        <v/>
      </c>
      <c r="G20" s="47">
        <f>IF(C20=0,"",D20/C20)</f>
        <v/>
      </c>
    </row>
    <row r="23">
      <c r="B23" s="3" t="inlineStr">
        <is>
          <t>Cette semaine (rappels)</t>
        </is>
      </c>
    </row>
    <row r="24">
      <c r="B24" s="20" t="inlineStr">
        <is>
          <t>1. Planning Gantt → filtre Alerte ≠ OK.</t>
        </is>
      </c>
    </row>
    <row r="25">
      <c r="B25" s="20" t="inlineStr">
        <is>
          <t>2. Choisis 2 thèmes max (priorité Haute, compatible avec 6 h perso / semaine).</t>
        </is>
      </c>
    </row>
    <row r="26">
      <c r="B26" s="20" t="inlineStr">
        <is>
          <t>3. Soirs cours = chapitre du jour + 1 reprise. Soirs entreprise = fiches légères.</t>
        </is>
      </c>
    </row>
    <row r="27">
      <c r="B27" s="20" t="inlineStr">
        <is>
          <t>4. Dimanche = 15 min de pilotage, pas de session marathon.</t>
        </is>
      </c>
    </row>
    <row r="29">
      <c r="B29" s="9" t="inlineStr">
        <is>
          <t>Repères année</t>
        </is>
      </c>
    </row>
    <row r="30">
      <c r="B30" s="13" t="inlineStr">
        <is>
          <t>Heures perso / semaine</t>
        </is>
      </c>
      <c r="C30" s="48">
        <f>Paramètres!C7</f>
        <v/>
      </c>
    </row>
    <row r="31">
      <c r="B31" s="13" t="inlineStr">
        <is>
          <t>Délai entre passages (j)</t>
        </is>
      </c>
      <c r="C31" s="48">
        <f>Paramètres!C8</f>
        <v/>
      </c>
    </row>
    <row r="32">
      <c r="B32" s="13" t="inlineStr">
        <is>
          <t>Jours avant l'examen (info)</t>
        </is>
      </c>
      <c r="C32" s="48">
        <f>Paramètres!C6-TODAY()</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D20"/>
  <sheetViews>
    <sheetView showGridLines="0" workbookViewId="0">
      <selection activeCell="A1" sqref="A1"/>
    </sheetView>
  </sheetViews>
  <sheetFormatPr baseColWidth="8" defaultRowHeight="15"/>
  <cols>
    <col width="3" customWidth="1" min="1" max="1"/>
    <col width="14" customWidth="1" min="2" max="2"/>
    <col width="55" customWidth="1" min="3" max="3"/>
    <col width="55" customWidth="1" min="4" max="4"/>
  </cols>
  <sheetData>
    <row r="2">
      <c r="B2" s="7" t="inlineStr">
        <is>
          <t>Bibliothèque de thèmes par UE</t>
        </is>
      </c>
    </row>
    <row r="3">
      <c r="B3" s="8" t="inlineStr">
        <is>
          <t>Ajoute ce dont tu as besoin dans le Gantt (copie une ligne existante). Découpe large au début, affine au fil des cours.</t>
        </is>
      </c>
    </row>
    <row r="5">
      <c r="B5" s="10" t="inlineStr">
        <is>
          <t>UE</t>
        </is>
      </c>
      <c r="C5" s="10" t="inlineStr">
        <is>
          <t>Intitulé</t>
        </is>
      </c>
      <c r="D5" s="10" t="inlineStr">
        <is>
          <t>Découpage possible</t>
        </is>
      </c>
    </row>
    <row r="6" ht="30" customHeight="1">
      <c r="B6" s="49" t="inlineStr">
        <is>
          <t>UE1</t>
        </is>
      </c>
      <c r="C6" s="13" t="inlineStr">
        <is>
          <t>Gestion juridique, fiscale et sociale</t>
        </is>
      </c>
      <c r="D6" s="13" t="inlineStr">
        <is>
          <t>Sociétés ; IS ; TVA ; contrôle fiscal ; droit social</t>
        </is>
      </c>
    </row>
    <row r="7" ht="30" customHeight="1">
      <c r="B7" s="50" t="inlineStr">
        <is>
          <t>UE2</t>
        </is>
      </c>
      <c r="C7" s="28" t="inlineStr">
        <is>
          <t>Finance</t>
        </is>
      </c>
      <c r="D7" s="28" t="inlineStr">
        <is>
          <t>Diagnostic ; évaluation ; investissement ; financement ; ingénierie</t>
        </is>
      </c>
    </row>
    <row r="8" ht="30" customHeight="1">
      <c r="B8" s="49" t="inlineStr">
        <is>
          <t>UE3</t>
        </is>
      </c>
      <c r="C8" s="13" t="inlineStr">
        <is>
          <t>Management et contrôle de gestion</t>
        </is>
      </c>
      <c r="D8" s="13" t="inlineStr">
        <is>
          <t>Stratégie ; budgets ; coûts ; performance ; projet</t>
        </is>
      </c>
    </row>
    <row r="9" ht="30" customHeight="1">
      <c r="B9" s="50" t="inlineStr">
        <is>
          <t>UE4</t>
        </is>
      </c>
      <c r="C9" s="28" t="inlineStr">
        <is>
          <t>Comptabilité et audit</t>
        </is>
      </c>
      <c r="D9" s="28" t="inlineStr">
        <is>
          <t>Consolidation ; IFRS ; audit ; contrôle interne</t>
        </is>
      </c>
    </row>
    <row r="10" ht="30" customHeight="1">
      <c r="B10" s="49" t="inlineStr">
        <is>
          <t>UE5</t>
        </is>
      </c>
      <c r="C10" s="13" t="inlineStr">
        <is>
          <t>Management des SI</t>
        </is>
      </c>
      <c r="D10" s="13" t="inlineStr">
        <is>
          <t>Gouvernance SI ; ERP ; sécurité ; data</t>
        </is>
      </c>
    </row>
    <row r="11" ht="30" customHeight="1">
      <c r="B11" s="50" t="inlineStr">
        <is>
          <t>UE6</t>
        </is>
      </c>
      <c r="C11" s="28" t="inlineStr">
        <is>
          <t>Anglais des affaires</t>
        </is>
      </c>
      <c r="D11" s="28" t="inlineStr">
        <is>
          <t>Vocabulaire ; reading — fil rouge toute l'année</t>
        </is>
      </c>
    </row>
    <row r="12" ht="30" customHeight="1">
      <c r="B12" s="49" t="inlineStr">
        <is>
          <t>UE7</t>
        </is>
      </c>
      <c r="C12" s="13" t="inlineStr">
        <is>
          <t>Relations professionnelles</t>
        </is>
      </c>
      <c r="D12" s="13" t="inlineStr">
        <is>
          <t>Problématique ; lit. ; terrain ; rédaction</t>
        </is>
      </c>
    </row>
    <row r="15">
      <c r="B15" s="9" t="inlineStr">
        <is>
          <t>Cycle sur l'année (par thème)</t>
        </is>
      </c>
    </row>
    <row r="16">
      <c r="B16" s="20" t="inlineStr">
        <is>
          <t>1. Découverte en cours → Maîtrise « En cours », Étape « Cours OK »</t>
        </is>
      </c>
    </row>
    <row r="17">
      <c r="B17" s="20" t="inlineStr">
        <is>
          <t>2. Exercices dans les 2–4 semaines → Étape « Exos OK »</t>
        </is>
      </c>
    </row>
    <row r="18">
      <c r="B18" s="20" t="inlineStr">
        <is>
          <t>3. Reprise espacée (~6 sem.) → ligne « 2e passage » ou Nb passages +1</t>
        </is>
      </c>
    </row>
    <row r="19">
      <c r="B19" s="20" t="inlineStr">
        <is>
          <t>4. Si trou → « À consolider » tout de suite, même en milieu d'année</t>
        </is>
      </c>
    </row>
    <row r="20">
      <c r="B20" s="20" t="inlineStr">
        <is>
          <t>5. Annales seulement quand le thème est au moins « Vu une fois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2026-10-06T15:09:49Z</dcterms:created>
  <dcterms:modified xsi:type="dcterms:W3CDTF">2026-10-06T15:09:49Z</dcterms:modified>
</cp:coreProperties>
</file>