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Paramètres" sheetId="2" state="visible" r:id="rId2"/>
    <sheet name="Planning Gantt" sheetId="3" state="visible" r:id="rId3"/>
    <sheet name="Tableau de bord" sheetId="4" state="visible" r:id="rId4"/>
    <sheet name="Bibliothèque UE" sheetId="5" state="visible" r:id="rId5"/>
  </sheets>
  <definedNames>
    <definedName name="_xlnm.Print_Titles" localSheetId="2">'Planning Gantt'!$4:$4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29">
    <font>
      <name val="Calibri"/>
      <family val="2"/>
      <color theme="1"/>
      <sz val="11"/>
      <scheme val="minor"/>
    </font>
    <font>
      <name val="Calibri"/>
      <b val="1"/>
      <color rgb="001B3A4B"/>
      <sz val="20"/>
    </font>
    <font>
      <name val="Calibri"/>
      <i val="1"/>
      <color rgb="002E6B7A"/>
      <sz val="12"/>
    </font>
    <font>
      <name val="Calibri"/>
      <b val="1"/>
      <color rgb="00C45C26"/>
      <sz val="13"/>
    </font>
    <font>
      <name val="Calibri"/>
      <sz val="11"/>
    </font>
    <font>
      <name val="Calibri"/>
      <b val="1"/>
      <color rgb="001B3A4B"/>
      <sz val="13"/>
    </font>
    <font>
      <name val="Calibri"/>
      <b val="1"/>
      <color rgb="001B3A4B"/>
      <sz val="18"/>
    </font>
    <font>
      <name val="Calibri"/>
      <b val="1"/>
      <sz val="11"/>
    </font>
    <font>
      <name val="Calibri"/>
      <b val="1"/>
      <color rgb="00C45C26"/>
      <sz val="11"/>
    </font>
    <font>
      <name val="Calibri"/>
      <i val="1"/>
      <color rgb="006C757D"/>
      <sz val="10"/>
    </font>
    <font>
      <name val="Calibri"/>
      <b val="1"/>
      <color rgb="002E6B7A"/>
      <sz val="13"/>
    </font>
    <font>
      <name val="Calibri"/>
      <b val="1"/>
      <color rgb="00FFFFFF"/>
      <sz val="11"/>
    </font>
    <font>
      <name val="Calibri"/>
      <sz val="10"/>
    </font>
    <font>
      <name val="Calibri"/>
      <b val="1"/>
      <color rgb="006C757D"/>
      <sz val="11"/>
    </font>
    <font>
      <name val="Calibri"/>
      <i val="1"/>
      <color rgb="00C1121F"/>
      <sz val="10"/>
    </font>
    <font>
      <name val="Calibri"/>
      <i val="1"/>
      <color rgb="002E6B7A"/>
      <sz val="10"/>
    </font>
    <font>
      <name val="Calibri"/>
      <b val="1"/>
      <color rgb="00FFFFFF"/>
      <sz val="8"/>
    </font>
    <font>
      <color rgb="00FFFFFF"/>
      <sz val="1"/>
    </font>
    <font>
      <name val="Calibri"/>
      <b val="1"/>
      <color rgb="001B3A4B"/>
      <sz val="11"/>
    </font>
    <font>
      <name val="Calibri"/>
      <b val="1"/>
      <color rgb="00FFFFFF"/>
      <sz val="9"/>
    </font>
    <font>
      <name val="Calibri"/>
      <i val="1"/>
      <sz val="9"/>
    </font>
    <font>
      <name val="Calibri"/>
      <b val="1"/>
      <color rgb="00C45C26"/>
      <sz val="9"/>
    </font>
    <font>
      <name val="Calibri"/>
      <b val="1"/>
      <color rgb="00C45C26"/>
      <sz val="10"/>
    </font>
    <font>
      <name val="Calibri"/>
      <i val="1"/>
      <color rgb="002E6B7A"/>
      <sz val="11"/>
    </font>
    <font>
      <name val="Calibri"/>
      <b val="1"/>
      <color rgb="00C45C26"/>
      <sz val="14"/>
    </font>
    <font>
      <name val="Calibri"/>
      <b val="1"/>
      <color rgb="00C1121F"/>
      <sz val="13"/>
    </font>
    <font>
      <name val="Calibri"/>
      <i val="1"/>
      <sz val="10"/>
    </font>
    <font>
      <name val="Calibri"/>
      <b val="1"/>
      <sz val="10"/>
    </font>
    <font>
      <name val="Calibri"/>
      <b val="1"/>
      <color rgb="00C45C26"/>
    </font>
  </fonts>
  <fills count="11">
    <fill>
      <patternFill/>
    </fill>
    <fill>
      <patternFill patternType="gray125"/>
    </fill>
    <fill>
      <patternFill patternType="solid">
        <fgColor rgb="00FFF3E8"/>
      </patternFill>
    </fill>
    <fill>
      <patternFill patternType="solid">
        <fgColor rgb="001B3A4B"/>
      </patternFill>
    </fill>
    <fill>
      <patternFill patternType="solid">
        <fgColor rgb="00F0F5F7"/>
      </patternFill>
    </fill>
    <fill>
      <patternFill patternType="solid">
        <fgColor rgb="00FFF8F0"/>
      </patternFill>
    </fill>
    <fill>
      <patternFill patternType="solid">
        <fgColor rgb="00457B9D"/>
      </patternFill>
    </fill>
    <fill>
      <patternFill patternType="solid">
        <fgColor rgb="00E09F3E"/>
      </patternFill>
    </fill>
    <fill>
      <patternFill patternType="solid">
        <fgColor rgb="002D6A4F"/>
      </patternFill>
    </fill>
    <fill>
      <patternFill patternType="solid">
        <fgColor rgb="00C1121F"/>
      </patternFill>
    </fill>
    <fill>
      <patternFill patternType="solid">
        <fgColor rgb="006C757D"/>
      </patternFill>
    </fill>
  </fills>
  <borders count="2">
    <border>
      <left/>
      <right/>
      <top/>
      <bottom/>
      <diagonal/>
    </border>
    <border>
      <left style="thin">
        <color rgb="00CED4DA"/>
      </left>
      <right style="thin">
        <color rgb="00CED4DA"/>
      </right>
      <top style="thin">
        <color rgb="00CED4DA"/>
      </top>
      <bottom style="thin">
        <color rgb="00CED4DA"/>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horizontal="center"/>
    </xf>
    <xf numFmtId="0" fontId="9" fillId="0" borderId="0" pivotButton="0" quotePrefix="0" xfId="0"/>
    <xf numFmtId="165" fontId="8" fillId="2" borderId="1" applyAlignment="1" pivotButton="0" quotePrefix="0" xfId="0">
      <alignment horizontal="center"/>
    </xf>
    <xf numFmtId="9" fontId="8" fillId="2" borderId="1" applyAlignment="1" pivotButton="0" quotePrefix="0" xfId="0">
      <alignment horizontal="center"/>
    </xf>
    <xf numFmtId="0" fontId="10" fillId="0" borderId="0" pivotButton="0" quotePrefix="0" xfId="0"/>
    <xf numFmtId="0" fontId="11" fillId="3" borderId="1" applyAlignment="1" pivotButton="0" quotePrefix="0" xfId="0">
      <alignment horizontal="center" vertical="center" wrapText="1"/>
    </xf>
    <xf numFmtId="0" fontId="12" fillId="0" borderId="1" applyAlignment="1" pivotButton="0" quotePrefix="0" xfId="0">
      <alignment horizontal="center" vertical="center" wrapText="1"/>
    </xf>
    <xf numFmtId="165" fontId="12" fillId="0" borderId="1" applyAlignment="1" pivotButton="0" quotePrefix="0" xfId="0">
      <alignment horizontal="center" vertical="center" wrapText="1"/>
    </xf>
    <xf numFmtId="0" fontId="12" fillId="4" borderId="1" applyAlignment="1" pivotButton="0" quotePrefix="0" xfId="0">
      <alignment horizontal="center" vertical="center" wrapText="1"/>
    </xf>
    <xf numFmtId="165" fontId="12" fillId="4" borderId="1" applyAlignment="1" pivotButton="0" quotePrefix="0" xfId="0">
      <alignment horizontal="center" vertical="center" wrapText="1"/>
    </xf>
    <xf numFmtId="0" fontId="14" fillId="0" borderId="0" pivotButton="0" quotePrefix="0" xfId="0"/>
    <xf numFmtId="0" fontId="13" fillId="0" borderId="0" pivotButton="0" quotePrefix="0" xfId="0"/>
    <xf numFmtId="165" fontId="0" fillId="0" borderId="0" pivotButton="0" quotePrefix="0" xfId="0"/>
    <xf numFmtId="0" fontId="15" fillId="0" borderId="0" pivotButton="0" quotePrefix="0" xfId="0"/>
    <xf numFmtId="0" fontId="16" fillId="3" borderId="1" applyAlignment="1" pivotButton="0" quotePrefix="0" xfId="0">
      <alignment horizontal="center" vertical="center" textRotation="90" wrapText="1"/>
    </xf>
    <xf numFmtId="0" fontId="12" fillId="5" borderId="1" applyAlignment="1" pivotButton="0" quotePrefix="0" xfId="0">
      <alignment horizontal="center" vertical="center" wrapText="1"/>
    </xf>
    <xf numFmtId="0" fontId="12" fillId="5" borderId="1" applyAlignment="1" pivotButton="0" quotePrefix="0" xfId="0">
      <alignment horizontal="left" vertical="center" wrapText="1"/>
    </xf>
    <xf numFmtId="165" fontId="12" fillId="5" borderId="1" applyAlignment="1" pivotButton="0" quotePrefix="0" xfId="0">
      <alignment horizontal="center" vertical="center" wrapText="1"/>
    </xf>
    <xf numFmtId="9" fontId="12" fillId="5" borderId="1" applyAlignment="1" pivotButton="0" quotePrefix="0" xfId="0">
      <alignment horizontal="center" vertical="center" wrapText="1"/>
    </xf>
    <xf numFmtId="0" fontId="17" fillId="0" borderId="1" applyAlignment="1" pivotButton="0" quotePrefix="0" xfId="0">
      <alignment horizontal="center"/>
    </xf>
    <xf numFmtId="0" fontId="18" fillId="0" borderId="0" pivotButton="0" quotePrefix="0" xfId="0"/>
    <xf numFmtId="0" fontId="19" fillId="6" borderId="1" applyAlignment="1" pivotButton="0" quotePrefix="0" xfId="0">
      <alignment horizontal="center"/>
    </xf>
    <xf numFmtId="0" fontId="19" fillId="7" borderId="1" applyAlignment="1" pivotButton="0" quotePrefix="0" xfId="0">
      <alignment horizontal="center"/>
    </xf>
    <xf numFmtId="0" fontId="19" fillId="8" borderId="1" applyAlignment="1" pivotButton="0" quotePrefix="0" xfId="0">
      <alignment horizontal="center"/>
    </xf>
    <xf numFmtId="0" fontId="19" fillId="9" borderId="1" applyAlignment="1" pivotButton="0" quotePrefix="0" xfId="0">
      <alignment horizontal="center"/>
    </xf>
    <xf numFmtId="0" fontId="19" fillId="10" borderId="1" applyAlignment="1" pivotButton="0" quotePrefix="0" xfId="0">
      <alignment horizontal="center"/>
    </xf>
    <xf numFmtId="0" fontId="20" fillId="0" borderId="0" pivotButton="0" quotePrefix="0" xfId="0"/>
    <xf numFmtId="0" fontId="21" fillId="0" borderId="0" pivotButton="0" quotePrefix="0" xfId="0"/>
    <xf numFmtId="165" fontId="22" fillId="0" borderId="0" pivotButton="0" quotePrefix="0" xfId="0"/>
    <xf numFmtId="0" fontId="23" fillId="0" borderId="0" pivotButton="0" quotePrefix="0" xfId="0"/>
    <xf numFmtId="0" fontId="7" fillId="4" borderId="1" pivotButton="0" quotePrefix="0" xfId="0"/>
    <xf numFmtId="0" fontId="24" fillId="5" borderId="1" applyAlignment="1" pivotButton="0" quotePrefix="0" xfId="0">
      <alignment horizontal="center"/>
    </xf>
    <xf numFmtId="0" fontId="12" fillId="0" borderId="1" applyAlignment="1" pivotButton="0" quotePrefix="0" xfId="0">
      <alignment horizontal="left" vertical="center" wrapText="1"/>
    </xf>
    <xf numFmtId="9" fontId="24" fillId="5" borderId="1" applyAlignment="1" pivotButton="0" quotePrefix="0" xfId="0">
      <alignment horizontal="center"/>
    </xf>
    <xf numFmtId="9" fontId="12" fillId="0" borderId="1" applyAlignment="1" pivotButton="0" quotePrefix="0" xfId="0">
      <alignment horizontal="center" vertical="center" wrapText="1"/>
    </xf>
    <xf numFmtId="0" fontId="12" fillId="4" borderId="1" applyAlignment="1" pivotButton="0" quotePrefix="0" xfId="0">
      <alignment horizontal="left" vertical="center" wrapText="1"/>
    </xf>
    <xf numFmtId="9" fontId="12" fillId="4" borderId="1" applyAlignment="1" pivotButton="0" quotePrefix="0" xfId="0">
      <alignment horizontal="center" vertical="center" wrapText="1"/>
    </xf>
    <xf numFmtId="0" fontId="25" fillId="0" borderId="0" pivotButton="0" quotePrefix="0" xfId="0"/>
    <xf numFmtId="0" fontId="26" fillId="0" borderId="0" pivotButton="0" quotePrefix="0" xfId="0"/>
    <xf numFmtId="0" fontId="27" fillId="5" borderId="1" applyAlignment="1" pivotButton="0" quotePrefix="0" xfId="0">
      <alignment horizontal="center" vertical="center" wrapText="1"/>
    </xf>
    <xf numFmtId="0" fontId="28" fillId="0" borderId="1" applyAlignment="1" pivotButton="0" quotePrefix="0" xfId="0">
      <alignment horizontal="center" vertical="center" wrapText="1"/>
    </xf>
    <xf numFmtId="0" fontId="28" fillId="4" borderId="1" applyAlignment="1" pivotButton="0" quotePrefix="0" xfId="0">
      <alignment horizontal="center" vertical="center" wrapText="1"/>
    </xf>
  </cellXfs>
  <cellStyles count="1">
    <cellStyle name="Normal" xfId="0" builtinId="0" hidden="0"/>
  </cellStyles>
  <dxfs count="10">
    <dxf>
      <fill>
        <patternFill patternType="solid">
          <fgColor rgb="002D6A4F"/>
        </patternFill>
      </fill>
    </dxf>
    <dxf>
      <fill>
        <patternFill patternType="solid">
          <fgColor rgb="00C1121F"/>
        </patternFill>
      </fill>
    </dxf>
    <dxf>
      <fill>
        <patternFill patternType="solid">
          <fgColor rgb="00E09F3E"/>
        </patternFill>
      </fill>
    </dxf>
    <dxf>
      <fill>
        <patternFill patternType="solid">
          <fgColor rgb="00457B9D"/>
        </patternFill>
      </fill>
    </dxf>
    <dxf>
      <fill>
        <patternFill patternType="solid">
          <fgColor rgb="006C757D"/>
        </patternFill>
      </fill>
    </dxf>
    <dxf>
      <fill>
        <patternFill patternType="solid">
          <fgColor rgb="0095D5B2"/>
        </patternFill>
      </fill>
    </dxf>
    <dxf>
      <fill>
        <patternFill patternType="solid">
          <fgColor rgb="00FCE4B3"/>
        </patternFill>
      </fill>
    </dxf>
    <dxf>
      <fill>
        <patternFill patternType="solid">
          <fgColor rgb="00F5C2C7"/>
        </patternFill>
      </fill>
    </dxf>
    <dxf>
      <fill>
        <patternFill patternType="solid">
          <fgColor rgb="00A8DADC"/>
        </patternFill>
      </fill>
    </dxf>
    <dxf>
      <fill>
        <patternFill patternType="solid">
          <fgColor rgb="00DEE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Répartition des statuts</a:t>
            </a:r>
          </a:p>
        </rich>
      </tx>
    </title>
    <plotArea>
      <doughnutChart>
        <varyColors val="1"/>
        <ser>
          <idx val="0"/>
          <order val="0"/>
          <tx>
            <strRef>
              <f>'Tableau de bord'!I5</f>
            </strRef>
          </tx>
          <spPr>
            <a:ln>
              <a:prstDash val="solid"/>
            </a:ln>
          </spPr>
          <cat>
            <numRef>
              <f>'Tableau de bord'!$H$6:$H$10</f>
            </numRef>
          </cat>
          <val>
            <numRef>
              <f>'Tableau de bord'!$I$6:$I$10</f>
            </numRef>
          </val>
        </ser>
        <dLbls>
          <showVal val="0"/>
          <showCatName val="0"/>
          <showPercent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11</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3" customWidth="1" min="1" max="1"/>
    <col width="92" customWidth="1" min="2" max="2"/>
  </cols>
  <sheetData>
    <row r="2" ht="28" customHeight="1">
      <c r="B2" s="1" t="inlineStr">
        <is>
          <t>DSCG 1 — Suivi des révisions (diagramme de Gantt)</t>
        </is>
      </c>
    </row>
    <row r="3">
      <c r="B3" s="2" t="inlineStr">
        <is>
          <t>Classeur prêt à l'emploi pour planifier, visualiser et suivre tes révisions par UE jusqu'aux examens.</t>
        </is>
      </c>
    </row>
    <row r="5">
      <c r="B5" s="3" t="inlineStr">
        <is>
          <t>1. Paramètres</t>
        </is>
      </c>
    </row>
    <row r="6" ht="36" customHeight="1">
      <c r="B6" s="4" t="inlineStr">
        <is>
          <t>Ouvre l'onglet Paramètres. Indique ta date de début de révision et la date d'examen. Les 16 semaines du Gantt se recalculent automatiquement.</t>
        </is>
      </c>
    </row>
    <row r="8">
      <c r="B8" s="3" t="inlineStr">
        <is>
          <t>2. Planning Gantt</t>
        </is>
      </c>
    </row>
    <row r="9" ht="36" customHeight="1">
      <c r="B9" s="4" t="inlineStr">
        <is>
          <t>Chaque ligne = un thème de révision. Modifie UE, thème, type, priorité, dates de début/fin et % d'avancement. Les barres colorées se mettent à jour toutes seules.</t>
        </is>
      </c>
    </row>
    <row r="11">
      <c r="B11" s="3" t="inlineStr">
        <is>
          <t>3. Couleurs du Gantt</t>
        </is>
      </c>
    </row>
    <row r="12" ht="36" customHeight="1">
      <c r="B12" s="4" t="inlineStr">
        <is>
          <t>Bleu = planifié | Vert = terminé (≥100 %) | Orange = en cours | Rouge = en retard (date de fin dépassée et avancement &lt; 100 %).</t>
        </is>
      </c>
    </row>
    <row r="14">
      <c r="B14" s="3" t="inlineStr">
        <is>
          <t>4. Tableau de bord</t>
        </is>
      </c>
    </row>
    <row r="15" ht="36" customHeight="1">
      <c r="B15" s="4" t="inlineStr">
        <is>
          <t>L'onglet Tableau de bord résume ta progression globale, par UE et les thèmes en retard. Actualise les filtres si besoin (données → actualiser).</t>
        </is>
      </c>
    </row>
    <row r="17">
      <c r="B17" s="3" t="inlineStr">
        <is>
          <t>5. Personnalisation</t>
        </is>
      </c>
    </row>
    <row r="18" ht="36" customHeight="1">
      <c r="B18" s="4" t="inlineStr">
        <is>
          <t>Ajoute des lignes sous les thèmes existants (copie une ligne pour garder les formules du Gantt). Tu peux supprimer les thèmes qui ne concernent pas tes UE.</t>
        </is>
      </c>
    </row>
    <row r="20">
      <c r="B20" s="3" t="inlineStr">
        <is>
          <t>6. Astuce DSCG</t>
        </is>
      </c>
    </row>
    <row r="21" ht="36" customHeight="1">
      <c r="B21" s="4" t="inlineStr">
        <is>
          <t>Alterne Cours / Exercices / Annales. Garde 2–3 semaines avant l'examen uniquement pour les annales chronométrées et les fiches express.</t>
        </is>
      </c>
    </row>
    <row r="24">
      <c r="B24" s="5" t="inlineStr">
        <is>
          <t>Légende rapide des onglets</t>
        </is>
      </c>
    </row>
    <row r="26">
      <c r="B26" s="6" t="inlineStr">
        <is>
          <t>• Paramètres → dates, heures dispo / semaine, objectifs</t>
        </is>
      </c>
    </row>
    <row r="27">
      <c r="B27" s="6" t="inlineStr">
        <is>
          <t>• Planning Gantt → ton outil principal (saisie + visualisation)</t>
        </is>
      </c>
    </row>
    <row r="28">
      <c r="B28" s="6" t="inlineStr">
        <is>
          <t>• Tableau de bord → synthèse et alertes</t>
        </is>
      </c>
    </row>
    <row r="29">
      <c r="B29" s="6" t="inlineStr">
        <is>
          <t>• Bibliothèque UE → idées de thèmes par unité d'enseignement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32"/>
  <sheetViews>
    <sheetView showGridLines="0" workbookViewId="0">
      <selection activeCell="A1" sqref="A1"/>
    </sheetView>
  </sheetViews>
  <sheetFormatPr baseColWidth="8" defaultRowHeight="15"/>
  <cols>
    <col width="3" customWidth="1" min="1" max="1"/>
    <col width="38" customWidth="1" min="2" max="2"/>
    <col width="18" customWidth="1" min="3" max="3"/>
    <col width="48" customWidth="1" min="4" max="4"/>
  </cols>
  <sheetData>
    <row r="2">
      <c r="B2" s="7" t="inlineStr">
        <is>
          <t>Paramètres du planning</t>
        </is>
      </c>
    </row>
    <row r="4">
      <c r="B4" s="8" t="inlineStr">
        <is>
          <t>Prénom / Identifiant</t>
        </is>
      </c>
      <c r="C4" s="9" t="inlineStr">
        <is>
          <t>Élève DSCG 1</t>
        </is>
      </c>
      <c r="D4" s="10" t="inlineStr">
        <is>
          <t>Ton nom (optionnel)</t>
        </is>
      </c>
    </row>
    <row r="5">
      <c r="B5" s="8" t="inlineStr">
        <is>
          <t>Date de début des révisions</t>
        </is>
      </c>
      <c r="C5" s="11" t="n">
        <v>46027</v>
      </c>
      <c r="D5" s="10" t="inlineStr">
        <is>
          <t>Doit être un lundi de préférence</t>
        </is>
      </c>
    </row>
    <row r="6">
      <c r="B6" s="8" t="inlineStr">
        <is>
          <t>Date d'examen (1ère épreuve)</t>
        </is>
      </c>
      <c r="C6" s="11" t="n">
        <v>46146</v>
      </c>
      <c r="D6" s="10" t="inlineStr">
        <is>
          <t>Date butoir affichée dans le Gantt</t>
        </is>
      </c>
    </row>
    <row r="7">
      <c r="B7" s="8" t="inlineStr">
        <is>
          <t>Heures dispo / semaine</t>
        </is>
      </c>
      <c r="C7" s="9" t="n">
        <v>12</v>
      </c>
      <c r="D7" s="10" t="inlineStr">
        <is>
          <t>Pour estimer la charge (info)</t>
        </is>
      </c>
    </row>
    <row r="8">
      <c r="B8" s="8" t="inlineStr">
        <is>
          <t>Objectif d'avancement global</t>
        </is>
      </c>
      <c r="C8" s="12" t="n">
        <v>1</v>
      </c>
      <c r="D8" s="10" t="inlineStr">
        <is>
          <t>Ex. 100 % = tout terminé</t>
        </is>
      </c>
    </row>
    <row r="10">
      <c r="B10" s="13" t="inlineStr">
        <is>
          <t>Calendrier des semaines (calculé automatiquement)</t>
        </is>
      </c>
    </row>
    <row r="11">
      <c r="B11" s="14" t="inlineStr">
        <is>
          <t>N° semaine</t>
        </is>
      </c>
      <c r="C11" s="14" t="inlineStr">
        <is>
          <t>Date de début (lundi)</t>
        </is>
      </c>
      <c r="D11" s="14" t="inlineStr">
        <is>
          <t>Libellé Gantt</t>
        </is>
      </c>
    </row>
    <row r="12">
      <c r="B12" s="15" t="n">
        <v>1</v>
      </c>
      <c r="C12" s="16">
        <f>$C$5+(1-1)*7</f>
        <v/>
      </c>
      <c r="D12" s="15">
        <f>"S"&amp;B12&amp;" "&amp;TEXT(C12,"DD/MM")</f>
        <v/>
      </c>
    </row>
    <row r="13">
      <c r="B13" s="17" t="n">
        <v>2</v>
      </c>
      <c r="C13" s="18">
        <f>$C$5+(2-1)*7</f>
        <v/>
      </c>
      <c r="D13" s="17">
        <f>"S"&amp;B13&amp;" "&amp;TEXT(C13,"DD/MM")</f>
        <v/>
      </c>
    </row>
    <row r="14">
      <c r="B14" s="15" t="n">
        <v>3</v>
      </c>
      <c r="C14" s="16">
        <f>$C$5+(3-1)*7</f>
        <v/>
      </c>
      <c r="D14" s="15">
        <f>"S"&amp;B14&amp;" "&amp;TEXT(C14,"DD/MM")</f>
        <v/>
      </c>
    </row>
    <row r="15">
      <c r="B15" s="17" t="n">
        <v>4</v>
      </c>
      <c r="C15" s="18">
        <f>$C$5+(4-1)*7</f>
        <v/>
      </c>
      <c r="D15" s="17">
        <f>"S"&amp;B15&amp;" "&amp;TEXT(C15,"DD/MM")</f>
        <v/>
      </c>
    </row>
    <row r="16">
      <c r="B16" s="15" t="n">
        <v>5</v>
      </c>
      <c r="C16" s="16">
        <f>$C$5+(5-1)*7</f>
        <v/>
      </c>
      <c r="D16" s="15">
        <f>"S"&amp;B16&amp;" "&amp;TEXT(C16,"DD/MM")</f>
        <v/>
      </c>
    </row>
    <row r="17">
      <c r="B17" s="17" t="n">
        <v>6</v>
      </c>
      <c r="C17" s="18">
        <f>$C$5+(6-1)*7</f>
        <v/>
      </c>
      <c r="D17" s="17">
        <f>"S"&amp;B17&amp;" "&amp;TEXT(C17,"DD/MM")</f>
        <v/>
      </c>
    </row>
    <row r="18">
      <c r="B18" s="15" t="n">
        <v>7</v>
      </c>
      <c r="C18" s="16">
        <f>$C$5+(7-1)*7</f>
        <v/>
      </c>
      <c r="D18" s="15">
        <f>"S"&amp;B18&amp;" "&amp;TEXT(C18,"DD/MM")</f>
        <v/>
      </c>
    </row>
    <row r="19">
      <c r="B19" s="17" t="n">
        <v>8</v>
      </c>
      <c r="C19" s="18">
        <f>$C$5+(8-1)*7</f>
        <v/>
      </c>
      <c r="D19" s="17">
        <f>"S"&amp;B19&amp;" "&amp;TEXT(C19,"DD/MM")</f>
        <v/>
      </c>
    </row>
    <row r="20">
      <c r="B20" s="15" t="n">
        <v>9</v>
      </c>
      <c r="C20" s="16">
        <f>$C$5+(9-1)*7</f>
        <v/>
      </c>
      <c r="D20" s="15">
        <f>"S"&amp;B20&amp;" "&amp;TEXT(C20,"DD/MM")</f>
        <v/>
      </c>
    </row>
    <row r="21">
      <c r="B21" s="17" t="n">
        <v>10</v>
      </c>
      <c r="C21" s="18">
        <f>$C$5+(10-1)*7</f>
        <v/>
      </c>
      <c r="D21" s="17">
        <f>"S"&amp;B21&amp;" "&amp;TEXT(C21,"DD/MM")</f>
        <v/>
      </c>
    </row>
    <row r="22">
      <c r="B22" s="15" t="n">
        <v>11</v>
      </c>
      <c r="C22" s="16">
        <f>$C$5+(11-1)*7</f>
        <v/>
      </c>
      <c r="D22" s="15">
        <f>"S"&amp;B22&amp;" "&amp;TEXT(C22,"DD/MM")</f>
        <v/>
      </c>
    </row>
    <row r="23">
      <c r="B23" s="17" t="n">
        <v>12</v>
      </c>
      <c r="C23" s="18">
        <f>$C$5+(12-1)*7</f>
        <v/>
      </c>
      <c r="D23" s="17">
        <f>"S"&amp;B23&amp;" "&amp;TEXT(C23,"DD/MM")</f>
        <v/>
      </c>
    </row>
    <row r="24">
      <c r="B24" s="15" t="n">
        <v>13</v>
      </c>
      <c r="C24" s="16">
        <f>$C$5+(13-1)*7</f>
        <v/>
      </c>
      <c r="D24" s="15">
        <f>"S"&amp;B24&amp;" "&amp;TEXT(C24,"DD/MM")</f>
        <v/>
      </c>
    </row>
    <row r="25">
      <c r="B25" s="17" t="n">
        <v>14</v>
      </c>
      <c r="C25" s="18">
        <f>$C$5+(14-1)*7</f>
        <v/>
      </c>
      <c r="D25" s="17">
        <f>"S"&amp;B25&amp;" "&amp;TEXT(C25,"DD/MM")</f>
        <v/>
      </c>
    </row>
    <row r="26">
      <c r="B26" s="15" t="n">
        <v>15</v>
      </c>
      <c r="C26" s="16">
        <f>$C$5+(15-1)*7</f>
        <v/>
      </c>
      <c r="D26" s="15">
        <f>"S"&amp;B26&amp;" "&amp;TEXT(C26,"DD/MM")</f>
        <v/>
      </c>
    </row>
    <row r="27">
      <c r="B27" s="17" t="n">
        <v>16</v>
      </c>
      <c r="C27" s="18">
        <f>$C$5+(16-1)*7</f>
        <v/>
      </c>
      <c r="D27" s="17">
        <f>"S"&amp;B27&amp;" "&amp;TEXT(C27,"DD/MM")</f>
        <v/>
      </c>
    </row>
    <row r="29">
      <c r="B29" s="19" t="inlineStr">
        <is>
          <t>Ne renomme pas cet onglet ni les cellules C5/C6 : le Planning Gantt s'y réfère.</t>
        </is>
      </c>
    </row>
    <row r="30">
      <c r="B30" s="20" t="inlineStr">
        <is>
          <t>Cellules clés utilisées par les formules</t>
        </is>
      </c>
    </row>
    <row r="31">
      <c r="B31" t="inlineStr">
        <is>
          <t>DateDebut</t>
        </is>
      </c>
      <c r="C31" s="21">
        <f>C5</f>
        <v/>
      </c>
    </row>
    <row r="32">
      <c r="B32" t="inlineStr">
        <is>
          <t>DateExamen</t>
        </is>
      </c>
      <c r="C32" s="21">
        <f>C6</f>
        <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B2:Z48"/>
  <sheetViews>
    <sheetView showGridLines="0" workbookViewId="0">
      <pane xSplit="7" ySplit="4" topLeftCell="H5"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48" customWidth="1" min="3" max="3"/>
    <col width="14" customWidth="1" min="4" max="4"/>
    <col width="11" customWidth="1" min="5" max="5"/>
    <col width="12" customWidth="1" min="6" max="6"/>
    <col width="12" customWidth="1" min="7" max="7"/>
    <col width="11" customWidth="1" min="8" max="8"/>
    <col width="12" customWidth="1" min="9" max="9"/>
    <col width="11" customWidth="1" min="10" max="10"/>
    <col width="5.2" customWidth="1" min="11" max="11"/>
    <col width="5.2" customWidth="1" min="12" max="12"/>
    <col width="5.2" customWidth="1" min="13" max="13"/>
    <col width="5.2" customWidth="1" min="14" max="14"/>
    <col width="5.2" customWidth="1" min="15" max="15"/>
    <col width="5.2" customWidth="1" min="16" max="16"/>
    <col width="5.2" customWidth="1" min="17" max="17"/>
    <col width="5.2" customWidth="1" min="18" max="18"/>
    <col width="5.2" customWidth="1" min="19" max="19"/>
    <col width="5.2" customWidth="1" min="20" max="20"/>
    <col width="5.2" customWidth="1" min="21" max="21"/>
    <col width="5.2" customWidth="1" min="22" max="22"/>
    <col width="5.2" customWidth="1" min="23" max="23"/>
    <col width="5.2" customWidth="1" min="24" max="24"/>
    <col width="5.2" customWidth="1" min="25" max="25"/>
    <col width="5.2" customWidth="1" min="26" max="26"/>
  </cols>
  <sheetData>
    <row r="2">
      <c r="B2" s="7" t="inlineStr">
        <is>
          <t>Planning Gantt — Révisions DSCG 1</t>
        </is>
      </c>
    </row>
    <row r="3">
      <c r="B3" s="22" t="inlineStr">
        <is>
          <t>Semaines calculées depuis Paramètres!C5  •  Remplis les colonnes jaunes  •  Les barres se colorent automatiquement</t>
        </is>
      </c>
    </row>
    <row r="4" ht="70" customHeight="1">
      <c r="B4" s="14" t="inlineStr">
        <is>
          <t>UE</t>
        </is>
      </c>
      <c r="C4" s="14" t="inlineStr">
        <is>
          <t>Thème / Chapitre</t>
        </is>
      </c>
      <c r="D4" s="14" t="inlineStr">
        <is>
          <t>Type</t>
        </is>
      </c>
      <c r="E4" s="14" t="inlineStr">
        <is>
          <t>Priorité</t>
        </is>
      </c>
      <c r="F4" s="14" t="inlineStr">
        <is>
          <t>Début</t>
        </is>
      </c>
      <c r="G4" s="14" t="inlineStr">
        <is>
          <t>Fin</t>
        </is>
      </c>
      <c r="H4" s="14" t="inlineStr">
        <is>
          <t>Avancement</t>
        </is>
      </c>
      <c r="I4" s="14" t="inlineStr">
        <is>
          <t>Statut</t>
        </is>
      </c>
      <c r="J4" s="14" t="inlineStr">
        <is>
          <t>Jours restants</t>
        </is>
      </c>
      <c r="K4" s="23">
        <f>Paramètres!D12</f>
        <v/>
      </c>
      <c r="L4" s="23">
        <f>Paramètres!D13</f>
        <v/>
      </c>
      <c r="M4" s="23">
        <f>Paramètres!D14</f>
        <v/>
      </c>
      <c r="N4" s="23">
        <f>Paramètres!D15</f>
        <v/>
      </c>
      <c r="O4" s="23">
        <f>Paramètres!D16</f>
        <v/>
      </c>
      <c r="P4" s="23">
        <f>Paramètres!D17</f>
        <v/>
      </c>
      <c r="Q4" s="23">
        <f>Paramètres!D18</f>
        <v/>
      </c>
      <c r="R4" s="23">
        <f>Paramètres!D19</f>
        <v/>
      </c>
      <c r="S4" s="23">
        <f>Paramètres!D20</f>
        <v/>
      </c>
      <c r="T4" s="23">
        <f>Paramètres!D21</f>
        <v/>
      </c>
      <c r="U4" s="23">
        <f>Paramètres!D22</f>
        <v/>
      </c>
      <c r="V4" s="23">
        <f>Paramètres!D23</f>
        <v/>
      </c>
      <c r="W4" s="23">
        <f>Paramètres!D24</f>
        <v/>
      </c>
      <c r="X4" s="23">
        <f>Paramètres!D25</f>
        <v/>
      </c>
      <c r="Y4" s="23">
        <f>Paramètres!D26</f>
        <v/>
      </c>
      <c r="Z4" s="23">
        <f>Paramètres!D27</f>
        <v/>
      </c>
    </row>
    <row r="5" ht="22" customHeight="1">
      <c r="B5" s="24" t="inlineStr">
        <is>
          <t>UE1</t>
        </is>
      </c>
      <c r="C5" s="25" t="inlineStr">
        <is>
          <t>Droit des sociétés — constitution &amp; fonctionnement</t>
        </is>
      </c>
      <c r="D5" s="24" t="inlineStr">
        <is>
          <t>Cours</t>
        </is>
      </c>
      <c r="E5" s="24" t="inlineStr">
        <is>
          <t>Haute</t>
        </is>
      </c>
      <c r="F5" s="26">
        <f>Paramètres!$C$5+(1-1)*7</f>
        <v/>
      </c>
      <c r="G5" s="26">
        <f>Paramètres!$C$5+(2)*7-1</f>
        <v/>
      </c>
      <c r="H5" s="27" t="n">
        <v>0</v>
      </c>
      <c r="I5" s="15">
        <f>IF(C5="","",IF(H5&gt;=1,"Terminé",IF(AND(G5&lt;&gt;"",G5&lt;TODAY(),H5&lt;1),"En retard",IF(H5&gt;0,"En cours","À faire"))))</f>
        <v/>
      </c>
      <c r="J5" s="15">
        <f>IF(OR(C5="",G5=""),"",G5-TODAY())</f>
        <v/>
      </c>
      <c r="K5" s="28">
        <f>IF(OR($C5="",$F5="",$G5=""),"",IF(AND($F5&lt;=Paramètres!$C$12+6,$G5&gt;=Paramètres!$C$12),1,""))</f>
        <v/>
      </c>
      <c r="L5" s="28">
        <f>IF(OR($C5="",$F5="",$G5=""),"",IF(AND($F5&lt;=Paramètres!$C$13+6,$G5&gt;=Paramètres!$C$13),1,""))</f>
        <v/>
      </c>
      <c r="M5" s="28">
        <f>IF(OR($C5="",$F5="",$G5=""),"",IF(AND($F5&lt;=Paramètres!$C$14+6,$G5&gt;=Paramètres!$C$14),1,""))</f>
        <v/>
      </c>
      <c r="N5" s="28">
        <f>IF(OR($C5="",$F5="",$G5=""),"",IF(AND($F5&lt;=Paramètres!$C$15+6,$G5&gt;=Paramètres!$C$15),1,""))</f>
        <v/>
      </c>
      <c r="O5" s="28">
        <f>IF(OR($C5="",$F5="",$G5=""),"",IF(AND($F5&lt;=Paramètres!$C$16+6,$G5&gt;=Paramètres!$C$16),1,""))</f>
        <v/>
      </c>
      <c r="P5" s="28">
        <f>IF(OR($C5="",$F5="",$G5=""),"",IF(AND($F5&lt;=Paramètres!$C$17+6,$G5&gt;=Paramètres!$C$17),1,""))</f>
        <v/>
      </c>
      <c r="Q5" s="28">
        <f>IF(OR($C5="",$F5="",$G5=""),"",IF(AND($F5&lt;=Paramètres!$C$18+6,$G5&gt;=Paramètres!$C$18),1,""))</f>
        <v/>
      </c>
      <c r="R5" s="28">
        <f>IF(OR($C5="",$F5="",$G5=""),"",IF(AND($F5&lt;=Paramètres!$C$19+6,$G5&gt;=Paramètres!$C$19),1,""))</f>
        <v/>
      </c>
      <c r="S5" s="28">
        <f>IF(OR($C5="",$F5="",$G5=""),"",IF(AND($F5&lt;=Paramètres!$C$20+6,$G5&gt;=Paramètres!$C$20),1,""))</f>
        <v/>
      </c>
      <c r="T5" s="28">
        <f>IF(OR($C5="",$F5="",$G5=""),"",IF(AND($F5&lt;=Paramètres!$C$21+6,$G5&gt;=Paramètres!$C$21),1,""))</f>
        <v/>
      </c>
      <c r="U5" s="28">
        <f>IF(OR($C5="",$F5="",$G5=""),"",IF(AND($F5&lt;=Paramètres!$C$22+6,$G5&gt;=Paramètres!$C$22),1,""))</f>
        <v/>
      </c>
      <c r="V5" s="28">
        <f>IF(OR($C5="",$F5="",$G5=""),"",IF(AND($F5&lt;=Paramètres!$C$23+6,$G5&gt;=Paramètres!$C$23),1,""))</f>
        <v/>
      </c>
      <c r="W5" s="28">
        <f>IF(OR($C5="",$F5="",$G5=""),"",IF(AND($F5&lt;=Paramètres!$C$24+6,$G5&gt;=Paramètres!$C$24),1,""))</f>
        <v/>
      </c>
      <c r="X5" s="28">
        <f>IF(OR($C5="",$F5="",$G5=""),"",IF(AND($F5&lt;=Paramètres!$C$25+6,$G5&gt;=Paramètres!$C$25),1,""))</f>
        <v/>
      </c>
      <c r="Y5" s="28">
        <f>IF(OR($C5="",$F5="",$G5=""),"",IF(AND($F5&lt;=Paramètres!$C$26+6,$G5&gt;=Paramètres!$C$26),1,""))</f>
        <v/>
      </c>
      <c r="Z5" s="28">
        <f>IF(OR($C5="",$F5="",$G5=""),"",IF(AND($F5&lt;=Paramètres!$C$27+6,$G5&gt;=Paramètres!$C$27),1,""))</f>
        <v/>
      </c>
    </row>
    <row r="6" ht="22" customHeight="1">
      <c r="B6" s="24" t="inlineStr">
        <is>
          <t>UE1</t>
        </is>
      </c>
      <c r="C6" s="25" t="inlineStr">
        <is>
          <t>Droit des sociétés — fusions, scissions, dissolution</t>
        </is>
      </c>
      <c r="D6" s="24" t="inlineStr">
        <is>
          <t>Cours</t>
        </is>
      </c>
      <c r="E6" s="24" t="inlineStr">
        <is>
          <t>Haute</t>
        </is>
      </c>
      <c r="F6" s="26">
        <f>Paramètres!$C$5+(3-1)*7</f>
        <v/>
      </c>
      <c r="G6" s="26">
        <f>Paramètres!$C$5+(3)*7-1</f>
        <v/>
      </c>
      <c r="H6" s="27" t="n">
        <v>0</v>
      </c>
      <c r="I6" s="15">
        <f>IF(C6="","",IF(H6&gt;=1,"Terminé",IF(AND(G6&lt;&gt;"",G6&lt;TODAY(),H6&lt;1),"En retard",IF(H6&gt;0,"En cours","À faire"))))</f>
        <v/>
      </c>
      <c r="J6" s="15">
        <f>IF(OR(C6="",G6=""),"",G6-TODAY())</f>
        <v/>
      </c>
      <c r="K6" s="28">
        <f>IF(OR($C6="",$F6="",$G6=""),"",IF(AND($F6&lt;=Paramètres!$C$12+6,$G6&gt;=Paramètres!$C$12),1,""))</f>
        <v/>
      </c>
      <c r="L6" s="28">
        <f>IF(OR($C6="",$F6="",$G6=""),"",IF(AND($F6&lt;=Paramètres!$C$13+6,$G6&gt;=Paramètres!$C$13),1,""))</f>
        <v/>
      </c>
      <c r="M6" s="28">
        <f>IF(OR($C6="",$F6="",$G6=""),"",IF(AND($F6&lt;=Paramètres!$C$14+6,$G6&gt;=Paramètres!$C$14),1,""))</f>
        <v/>
      </c>
      <c r="N6" s="28">
        <f>IF(OR($C6="",$F6="",$G6=""),"",IF(AND($F6&lt;=Paramètres!$C$15+6,$G6&gt;=Paramètres!$C$15),1,""))</f>
        <v/>
      </c>
      <c r="O6" s="28">
        <f>IF(OR($C6="",$F6="",$G6=""),"",IF(AND($F6&lt;=Paramètres!$C$16+6,$G6&gt;=Paramètres!$C$16),1,""))</f>
        <v/>
      </c>
      <c r="P6" s="28">
        <f>IF(OR($C6="",$F6="",$G6=""),"",IF(AND($F6&lt;=Paramètres!$C$17+6,$G6&gt;=Paramètres!$C$17),1,""))</f>
        <v/>
      </c>
      <c r="Q6" s="28">
        <f>IF(OR($C6="",$F6="",$G6=""),"",IF(AND($F6&lt;=Paramètres!$C$18+6,$G6&gt;=Paramètres!$C$18),1,""))</f>
        <v/>
      </c>
      <c r="R6" s="28">
        <f>IF(OR($C6="",$F6="",$G6=""),"",IF(AND($F6&lt;=Paramètres!$C$19+6,$G6&gt;=Paramètres!$C$19),1,""))</f>
        <v/>
      </c>
      <c r="S6" s="28">
        <f>IF(OR($C6="",$F6="",$G6=""),"",IF(AND($F6&lt;=Paramètres!$C$20+6,$G6&gt;=Paramètres!$C$20),1,""))</f>
        <v/>
      </c>
      <c r="T6" s="28">
        <f>IF(OR($C6="",$F6="",$G6=""),"",IF(AND($F6&lt;=Paramètres!$C$21+6,$G6&gt;=Paramètres!$C$21),1,""))</f>
        <v/>
      </c>
      <c r="U6" s="28">
        <f>IF(OR($C6="",$F6="",$G6=""),"",IF(AND($F6&lt;=Paramètres!$C$22+6,$G6&gt;=Paramètres!$C$22),1,""))</f>
        <v/>
      </c>
      <c r="V6" s="28">
        <f>IF(OR($C6="",$F6="",$G6=""),"",IF(AND($F6&lt;=Paramètres!$C$23+6,$G6&gt;=Paramètres!$C$23),1,""))</f>
        <v/>
      </c>
      <c r="W6" s="28">
        <f>IF(OR($C6="",$F6="",$G6=""),"",IF(AND($F6&lt;=Paramètres!$C$24+6,$G6&gt;=Paramètres!$C$24),1,""))</f>
        <v/>
      </c>
      <c r="X6" s="28">
        <f>IF(OR($C6="",$F6="",$G6=""),"",IF(AND($F6&lt;=Paramètres!$C$25+6,$G6&gt;=Paramètres!$C$25),1,""))</f>
        <v/>
      </c>
      <c r="Y6" s="28">
        <f>IF(OR($C6="",$F6="",$G6=""),"",IF(AND($F6&lt;=Paramètres!$C$26+6,$G6&gt;=Paramètres!$C$26),1,""))</f>
        <v/>
      </c>
      <c r="Z6" s="28">
        <f>IF(OR($C6="",$F6="",$G6=""),"",IF(AND($F6&lt;=Paramètres!$C$27+6,$G6&gt;=Paramètres!$C$27),1,""))</f>
        <v/>
      </c>
    </row>
    <row r="7" ht="22" customHeight="1">
      <c r="B7" s="24" t="inlineStr">
        <is>
          <t>UE1</t>
        </is>
      </c>
      <c r="C7" s="25" t="inlineStr">
        <is>
          <t>Fiscalité des entreprises — IS &amp; intégration fiscale</t>
        </is>
      </c>
      <c r="D7" s="24" t="inlineStr">
        <is>
          <t>Cours</t>
        </is>
      </c>
      <c r="E7" s="24" t="inlineStr">
        <is>
          <t>Haute</t>
        </is>
      </c>
      <c r="F7" s="26">
        <f>Paramètres!$C$5+(4-1)*7</f>
        <v/>
      </c>
      <c r="G7" s="26">
        <f>Paramètres!$C$5+(5)*7-1</f>
        <v/>
      </c>
      <c r="H7" s="27" t="n">
        <v>0</v>
      </c>
      <c r="I7" s="15">
        <f>IF(C7="","",IF(H7&gt;=1,"Terminé",IF(AND(G7&lt;&gt;"",G7&lt;TODAY(),H7&lt;1),"En retard",IF(H7&gt;0,"En cours","À faire"))))</f>
        <v/>
      </c>
      <c r="J7" s="15">
        <f>IF(OR(C7="",G7=""),"",G7-TODAY())</f>
        <v/>
      </c>
      <c r="K7" s="28">
        <f>IF(OR($C7="",$F7="",$G7=""),"",IF(AND($F7&lt;=Paramètres!$C$12+6,$G7&gt;=Paramètres!$C$12),1,""))</f>
        <v/>
      </c>
      <c r="L7" s="28">
        <f>IF(OR($C7="",$F7="",$G7=""),"",IF(AND($F7&lt;=Paramètres!$C$13+6,$G7&gt;=Paramètres!$C$13),1,""))</f>
        <v/>
      </c>
      <c r="M7" s="28">
        <f>IF(OR($C7="",$F7="",$G7=""),"",IF(AND($F7&lt;=Paramètres!$C$14+6,$G7&gt;=Paramètres!$C$14),1,""))</f>
        <v/>
      </c>
      <c r="N7" s="28">
        <f>IF(OR($C7="",$F7="",$G7=""),"",IF(AND($F7&lt;=Paramètres!$C$15+6,$G7&gt;=Paramètres!$C$15),1,""))</f>
        <v/>
      </c>
      <c r="O7" s="28">
        <f>IF(OR($C7="",$F7="",$G7=""),"",IF(AND($F7&lt;=Paramètres!$C$16+6,$G7&gt;=Paramètres!$C$16),1,""))</f>
        <v/>
      </c>
      <c r="P7" s="28">
        <f>IF(OR($C7="",$F7="",$G7=""),"",IF(AND($F7&lt;=Paramètres!$C$17+6,$G7&gt;=Paramètres!$C$17),1,""))</f>
        <v/>
      </c>
      <c r="Q7" s="28">
        <f>IF(OR($C7="",$F7="",$G7=""),"",IF(AND($F7&lt;=Paramètres!$C$18+6,$G7&gt;=Paramètres!$C$18),1,""))</f>
        <v/>
      </c>
      <c r="R7" s="28">
        <f>IF(OR($C7="",$F7="",$G7=""),"",IF(AND($F7&lt;=Paramètres!$C$19+6,$G7&gt;=Paramètres!$C$19),1,""))</f>
        <v/>
      </c>
      <c r="S7" s="28">
        <f>IF(OR($C7="",$F7="",$G7=""),"",IF(AND($F7&lt;=Paramètres!$C$20+6,$G7&gt;=Paramètres!$C$20),1,""))</f>
        <v/>
      </c>
      <c r="T7" s="28">
        <f>IF(OR($C7="",$F7="",$G7=""),"",IF(AND($F7&lt;=Paramètres!$C$21+6,$G7&gt;=Paramètres!$C$21),1,""))</f>
        <v/>
      </c>
      <c r="U7" s="28">
        <f>IF(OR($C7="",$F7="",$G7=""),"",IF(AND($F7&lt;=Paramètres!$C$22+6,$G7&gt;=Paramètres!$C$22),1,""))</f>
        <v/>
      </c>
      <c r="V7" s="28">
        <f>IF(OR($C7="",$F7="",$G7=""),"",IF(AND($F7&lt;=Paramètres!$C$23+6,$G7&gt;=Paramètres!$C$23),1,""))</f>
        <v/>
      </c>
      <c r="W7" s="28">
        <f>IF(OR($C7="",$F7="",$G7=""),"",IF(AND($F7&lt;=Paramètres!$C$24+6,$G7&gt;=Paramètres!$C$24),1,""))</f>
        <v/>
      </c>
      <c r="X7" s="28">
        <f>IF(OR($C7="",$F7="",$G7=""),"",IF(AND($F7&lt;=Paramètres!$C$25+6,$G7&gt;=Paramètres!$C$25),1,""))</f>
        <v/>
      </c>
      <c r="Y7" s="28">
        <f>IF(OR($C7="",$F7="",$G7=""),"",IF(AND($F7&lt;=Paramètres!$C$26+6,$G7&gt;=Paramètres!$C$26),1,""))</f>
        <v/>
      </c>
      <c r="Z7" s="28">
        <f>IF(OR($C7="",$F7="",$G7=""),"",IF(AND($F7&lt;=Paramètres!$C$27+6,$G7&gt;=Paramètres!$C$27),1,""))</f>
        <v/>
      </c>
    </row>
    <row r="8" ht="22" customHeight="1">
      <c r="B8" s="24" t="inlineStr">
        <is>
          <t>UE1</t>
        </is>
      </c>
      <c r="C8" s="25" t="inlineStr">
        <is>
          <t>Fiscalité — TVA &amp; taxes diverses</t>
        </is>
      </c>
      <c r="D8" s="24" t="inlineStr">
        <is>
          <t>Exercices</t>
        </is>
      </c>
      <c r="E8" s="24" t="inlineStr">
        <is>
          <t>Moyenne</t>
        </is>
      </c>
      <c r="F8" s="26">
        <f>Paramètres!$C$5+(5-1)*7</f>
        <v/>
      </c>
      <c r="G8" s="26">
        <f>Paramètres!$C$5+(6)*7-1</f>
        <v/>
      </c>
      <c r="H8" s="27" t="n">
        <v>0</v>
      </c>
      <c r="I8" s="15">
        <f>IF(C8="","",IF(H8&gt;=1,"Terminé",IF(AND(G8&lt;&gt;"",G8&lt;TODAY(),H8&lt;1),"En retard",IF(H8&gt;0,"En cours","À faire"))))</f>
        <v/>
      </c>
      <c r="J8" s="15">
        <f>IF(OR(C8="",G8=""),"",G8-TODAY())</f>
        <v/>
      </c>
      <c r="K8" s="28">
        <f>IF(OR($C8="",$F8="",$G8=""),"",IF(AND($F8&lt;=Paramètres!$C$12+6,$G8&gt;=Paramètres!$C$12),1,""))</f>
        <v/>
      </c>
      <c r="L8" s="28">
        <f>IF(OR($C8="",$F8="",$G8=""),"",IF(AND($F8&lt;=Paramètres!$C$13+6,$G8&gt;=Paramètres!$C$13),1,""))</f>
        <v/>
      </c>
      <c r="M8" s="28">
        <f>IF(OR($C8="",$F8="",$G8=""),"",IF(AND($F8&lt;=Paramètres!$C$14+6,$G8&gt;=Paramètres!$C$14),1,""))</f>
        <v/>
      </c>
      <c r="N8" s="28">
        <f>IF(OR($C8="",$F8="",$G8=""),"",IF(AND($F8&lt;=Paramètres!$C$15+6,$G8&gt;=Paramètres!$C$15),1,""))</f>
        <v/>
      </c>
      <c r="O8" s="28">
        <f>IF(OR($C8="",$F8="",$G8=""),"",IF(AND($F8&lt;=Paramètres!$C$16+6,$G8&gt;=Paramètres!$C$16),1,""))</f>
        <v/>
      </c>
      <c r="P8" s="28">
        <f>IF(OR($C8="",$F8="",$G8=""),"",IF(AND($F8&lt;=Paramètres!$C$17+6,$G8&gt;=Paramètres!$C$17),1,""))</f>
        <v/>
      </c>
      <c r="Q8" s="28">
        <f>IF(OR($C8="",$F8="",$G8=""),"",IF(AND($F8&lt;=Paramètres!$C$18+6,$G8&gt;=Paramètres!$C$18),1,""))</f>
        <v/>
      </c>
      <c r="R8" s="28">
        <f>IF(OR($C8="",$F8="",$G8=""),"",IF(AND($F8&lt;=Paramètres!$C$19+6,$G8&gt;=Paramètres!$C$19),1,""))</f>
        <v/>
      </c>
      <c r="S8" s="28">
        <f>IF(OR($C8="",$F8="",$G8=""),"",IF(AND($F8&lt;=Paramètres!$C$20+6,$G8&gt;=Paramètres!$C$20),1,""))</f>
        <v/>
      </c>
      <c r="T8" s="28">
        <f>IF(OR($C8="",$F8="",$G8=""),"",IF(AND($F8&lt;=Paramètres!$C$21+6,$G8&gt;=Paramètres!$C$21),1,""))</f>
        <v/>
      </c>
      <c r="U8" s="28">
        <f>IF(OR($C8="",$F8="",$G8=""),"",IF(AND($F8&lt;=Paramètres!$C$22+6,$G8&gt;=Paramètres!$C$22),1,""))</f>
        <v/>
      </c>
      <c r="V8" s="28">
        <f>IF(OR($C8="",$F8="",$G8=""),"",IF(AND($F8&lt;=Paramètres!$C$23+6,$G8&gt;=Paramètres!$C$23),1,""))</f>
        <v/>
      </c>
      <c r="W8" s="28">
        <f>IF(OR($C8="",$F8="",$G8=""),"",IF(AND($F8&lt;=Paramètres!$C$24+6,$G8&gt;=Paramètres!$C$24),1,""))</f>
        <v/>
      </c>
      <c r="X8" s="28">
        <f>IF(OR($C8="",$F8="",$G8=""),"",IF(AND($F8&lt;=Paramètres!$C$25+6,$G8&gt;=Paramètres!$C$25),1,""))</f>
        <v/>
      </c>
      <c r="Y8" s="28">
        <f>IF(OR($C8="",$F8="",$G8=""),"",IF(AND($F8&lt;=Paramètres!$C$26+6,$G8&gt;=Paramètres!$C$26),1,""))</f>
        <v/>
      </c>
      <c r="Z8" s="28">
        <f>IF(OR($C8="",$F8="",$G8=""),"",IF(AND($F8&lt;=Paramètres!$C$27+6,$G8&gt;=Paramètres!$C$27),1,""))</f>
        <v/>
      </c>
    </row>
    <row r="9" ht="22" customHeight="1">
      <c r="B9" s="24" t="inlineStr">
        <is>
          <t>UE1</t>
        </is>
      </c>
      <c r="C9" s="25" t="inlineStr">
        <is>
          <t>Droit social — contrat de travail &amp; rupture</t>
        </is>
      </c>
      <c r="D9" s="24" t="inlineStr">
        <is>
          <t>Cours</t>
        </is>
      </c>
      <c r="E9" s="24" t="inlineStr">
        <is>
          <t>Haute</t>
        </is>
      </c>
      <c r="F9" s="26">
        <f>Paramètres!$C$5+(7-1)*7</f>
        <v/>
      </c>
      <c r="G9" s="26">
        <f>Paramètres!$C$5+(8)*7-1</f>
        <v/>
      </c>
      <c r="H9" s="27" t="n">
        <v>0</v>
      </c>
      <c r="I9" s="15">
        <f>IF(C9="","",IF(H9&gt;=1,"Terminé",IF(AND(G9&lt;&gt;"",G9&lt;TODAY(),H9&lt;1),"En retard",IF(H9&gt;0,"En cours","À faire"))))</f>
        <v/>
      </c>
      <c r="J9" s="15">
        <f>IF(OR(C9="",G9=""),"",G9-TODAY())</f>
        <v/>
      </c>
      <c r="K9" s="28">
        <f>IF(OR($C9="",$F9="",$G9=""),"",IF(AND($F9&lt;=Paramètres!$C$12+6,$G9&gt;=Paramètres!$C$12),1,""))</f>
        <v/>
      </c>
      <c r="L9" s="28">
        <f>IF(OR($C9="",$F9="",$G9=""),"",IF(AND($F9&lt;=Paramètres!$C$13+6,$G9&gt;=Paramètres!$C$13),1,""))</f>
        <v/>
      </c>
      <c r="M9" s="28">
        <f>IF(OR($C9="",$F9="",$G9=""),"",IF(AND($F9&lt;=Paramètres!$C$14+6,$G9&gt;=Paramètres!$C$14),1,""))</f>
        <v/>
      </c>
      <c r="N9" s="28">
        <f>IF(OR($C9="",$F9="",$G9=""),"",IF(AND($F9&lt;=Paramètres!$C$15+6,$G9&gt;=Paramètres!$C$15),1,""))</f>
        <v/>
      </c>
      <c r="O9" s="28">
        <f>IF(OR($C9="",$F9="",$G9=""),"",IF(AND($F9&lt;=Paramètres!$C$16+6,$G9&gt;=Paramètres!$C$16),1,""))</f>
        <v/>
      </c>
      <c r="P9" s="28">
        <f>IF(OR($C9="",$F9="",$G9=""),"",IF(AND($F9&lt;=Paramètres!$C$17+6,$G9&gt;=Paramètres!$C$17),1,""))</f>
        <v/>
      </c>
      <c r="Q9" s="28">
        <f>IF(OR($C9="",$F9="",$G9=""),"",IF(AND($F9&lt;=Paramètres!$C$18+6,$G9&gt;=Paramètres!$C$18),1,""))</f>
        <v/>
      </c>
      <c r="R9" s="28">
        <f>IF(OR($C9="",$F9="",$G9=""),"",IF(AND($F9&lt;=Paramètres!$C$19+6,$G9&gt;=Paramètres!$C$19),1,""))</f>
        <v/>
      </c>
      <c r="S9" s="28">
        <f>IF(OR($C9="",$F9="",$G9=""),"",IF(AND($F9&lt;=Paramètres!$C$20+6,$G9&gt;=Paramètres!$C$20),1,""))</f>
        <v/>
      </c>
      <c r="T9" s="28">
        <f>IF(OR($C9="",$F9="",$G9=""),"",IF(AND($F9&lt;=Paramètres!$C$21+6,$G9&gt;=Paramètres!$C$21),1,""))</f>
        <v/>
      </c>
      <c r="U9" s="28">
        <f>IF(OR($C9="",$F9="",$G9=""),"",IF(AND($F9&lt;=Paramètres!$C$22+6,$G9&gt;=Paramètres!$C$22),1,""))</f>
        <v/>
      </c>
      <c r="V9" s="28">
        <f>IF(OR($C9="",$F9="",$G9=""),"",IF(AND($F9&lt;=Paramètres!$C$23+6,$G9&gt;=Paramètres!$C$23),1,""))</f>
        <v/>
      </c>
      <c r="W9" s="28">
        <f>IF(OR($C9="",$F9="",$G9=""),"",IF(AND($F9&lt;=Paramètres!$C$24+6,$G9&gt;=Paramètres!$C$24),1,""))</f>
        <v/>
      </c>
      <c r="X9" s="28">
        <f>IF(OR($C9="",$F9="",$G9=""),"",IF(AND($F9&lt;=Paramètres!$C$25+6,$G9&gt;=Paramètres!$C$25),1,""))</f>
        <v/>
      </c>
      <c r="Y9" s="28">
        <f>IF(OR($C9="",$F9="",$G9=""),"",IF(AND($F9&lt;=Paramètres!$C$26+6,$G9&gt;=Paramètres!$C$26),1,""))</f>
        <v/>
      </c>
      <c r="Z9" s="28">
        <f>IF(OR($C9="",$F9="",$G9=""),"",IF(AND($F9&lt;=Paramètres!$C$27+6,$G9&gt;=Paramètres!$C$27),1,""))</f>
        <v/>
      </c>
    </row>
    <row r="10" ht="22" customHeight="1">
      <c r="B10" s="24" t="inlineStr">
        <is>
          <t>UE1</t>
        </is>
      </c>
      <c r="C10" s="25" t="inlineStr">
        <is>
          <t>Annales UE1 — sujets blancs</t>
        </is>
      </c>
      <c r="D10" s="24" t="inlineStr">
        <is>
          <t>Annales</t>
        </is>
      </c>
      <c r="E10" s="24" t="inlineStr">
        <is>
          <t>Haute</t>
        </is>
      </c>
      <c r="F10" s="26">
        <f>Paramètres!$C$5+(14-1)*7</f>
        <v/>
      </c>
      <c r="G10" s="26">
        <f>Paramètres!$C$5+(15)*7-1</f>
        <v/>
      </c>
      <c r="H10" s="27" t="n">
        <v>0</v>
      </c>
      <c r="I10" s="15">
        <f>IF(C10="","",IF(H10&gt;=1,"Terminé",IF(AND(G10&lt;&gt;"",G10&lt;TODAY(),H10&lt;1),"En retard",IF(H10&gt;0,"En cours","À faire"))))</f>
        <v/>
      </c>
      <c r="J10" s="15">
        <f>IF(OR(C10="",G10=""),"",G10-TODAY())</f>
        <v/>
      </c>
      <c r="K10" s="28">
        <f>IF(OR($C10="",$F10="",$G10=""),"",IF(AND($F10&lt;=Paramètres!$C$12+6,$G10&gt;=Paramètres!$C$12),1,""))</f>
        <v/>
      </c>
      <c r="L10" s="28">
        <f>IF(OR($C10="",$F10="",$G10=""),"",IF(AND($F10&lt;=Paramètres!$C$13+6,$G10&gt;=Paramètres!$C$13),1,""))</f>
        <v/>
      </c>
      <c r="M10" s="28">
        <f>IF(OR($C10="",$F10="",$G10=""),"",IF(AND($F10&lt;=Paramètres!$C$14+6,$G10&gt;=Paramètres!$C$14),1,""))</f>
        <v/>
      </c>
      <c r="N10" s="28">
        <f>IF(OR($C10="",$F10="",$G10=""),"",IF(AND($F10&lt;=Paramètres!$C$15+6,$G10&gt;=Paramètres!$C$15),1,""))</f>
        <v/>
      </c>
      <c r="O10" s="28">
        <f>IF(OR($C10="",$F10="",$G10=""),"",IF(AND($F10&lt;=Paramètres!$C$16+6,$G10&gt;=Paramètres!$C$16),1,""))</f>
        <v/>
      </c>
      <c r="P10" s="28">
        <f>IF(OR($C10="",$F10="",$G10=""),"",IF(AND($F10&lt;=Paramètres!$C$17+6,$G10&gt;=Paramètres!$C$17),1,""))</f>
        <v/>
      </c>
      <c r="Q10" s="28">
        <f>IF(OR($C10="",$F10="",$G10=""),"",IF(AND($F10&lt;=Paramètres!$C$18+6,$G10&gt;=Paramètres!$C$18),1,""))</f>
        <v/>
      </c>
      <c r="R10" s="28">
        <f>IF(OR($C10="",$F10="",$G10=""),"",IF(AND($F10&lt;=Paramètres!$C$19+6,$G10&gt;=Paramètres!$C$19),1,""))</f>
        <v/>
      </c>
      <c r="S10" s="28">
        <f>IF(OR($C10="",$F10="",$G10=""),"",IF(AND($F10&lt;=Paramètres!$C$20+6,$G10&gt;=Paramètres!$C$20),1,""))</f>
        <v/>
      </c>
      <c r="T10" s="28">
        <f>IF(OR($C10="",$F10="",$G10=""),"",IF(AND($F10&lt;=Paramètres!$C$21+6,$G10&gt;=Paramètres!$C$21),1,""))</f>
        <v/>
      </c>
      <c r="U10" s="28">
        <f>IF(OR($C10="",$F10="",$G10=""),"",IF(AND($F10&lt;=Paramètres!$C$22+6,$G10&gt;=Paramètres!$C$22),1,""))</f>
        <v/>
      </c>
      <c r="V10" s="28">
        <f>IF(OR($C10="",$F10="",$G10=""),"",IF(AND($F10&lt;=Paramètres!$C$23+6,$G10&gt;=Paramètres!$C$23),1,""))</f>
        <v/>
      </c>
      <c r="W10" s="28">
        <f>IF(OR($C10="",$F10="",$G10=""),"",IF(AND($F10&lt;=Paramètres!$C$24+6,$G10&gt;=Paramètres!$C$24),1,""))</f>
        <v/>
      </c>
      <c r="X10" s="28">
        <f>IF(OR($C10="",$F10="",$G10=""),"",IF(AND($F10&lt;=Paramètres!$C$25+6,$G10&gt;=Paramètres!$C$25),1,""))</f>
        <v/>
      </c>
      <c r="Y10" s="28">
        <f>IF(OR($C10="",$F10="",$G10=""),"",IF(AND($F10&lt;=Paramètres!$C$26+6,$G10&gt;=Paramètres!$C$26),1,""))</f>
        <v/>
      </c>
      <c r="Z10" s="28">
        <f>IF(OR($C10="",$F10="",$G10=""),"",IF(AND($F10&lt;=Paramètres!$C$27+6,$G10&gt;=Paramètres!$C$27),1,""))</f>
        <v/>
      </c>
    </row>
    <row r="11" ht="22" customHeight="1">
      <c r="B11" s="24" t="inlineStr">
        <is>
          <t>UE2</t>
        </is>
      </c>
      <c r="C11" s="25" t="inlineStr">
        <is>
          <t>Diagnostic financier &amp; tableaux de flux</t>
        </is>
      </c>
      <c r="D11" s="24" t="inlineStr">
        <is>
          <t>Cours</t>
        </is>
      </c>
      <c r="E11" s="24" t="inlineStr">
        <is>
          <t>Haute</t>
        </is>
      </c>
      <c r="F11" s="26">
        <f>Paramètres!$C$5+(1-1)*7</f>
        <v/>
      </c>
      <c r="G11" s="26">
        <f>Paramètres!$C$5+(2)*7-1</f>
        <v/>
      </c>
      <c r="H11" s="27" t="n">
        <v>0</v>
      </c>
      <c r="I11" s="15">
        <f>IF(C11="","",IF(H11&gt;=1,"Terminé",IF(AND(G11&lt;&gt;"",G11&lt;TODAY(),H11&lt;1),"En retard",IF(H11&gt;0,"En cours","À faire"))))</f>
        <v/>
      </c>
      <c r="J11" s="15">
        <f>IF(OR(C11="",G11=""),"",G11-TODAY())</f>
        <v/>
      </c>
      <c r="K11" s="28">
        <f>IF(OR($C11="",$F11="",$G11=""),"",IF(AND($F11&lt;=Paramètres!$C$12+6,$G11&gt;=Paramètres!$C$12),1,""))</f>
        <v/>
      </c>
      <c r="L11" s="28">
        <f>IF(OR($C11="",$F11="",$G11=""),"",IF(AND($F11&lt;=Paramètres!$C$13+6,$G11&gt;=Paramètres!$C$13),1,""))</f>
        <v/>
      </c>
      <c r="M11" s="28">
        <f>IF(OR($C11="",$F11="",$G11=""),"",IF(AND($F11&lt;=Paramètres!$C$14+6,$G11&gt;=Paramètres!$C$14),1,""))</f>
        <v/>
      </c>
      <c r="N11" s="28">
        <f>IF(OR($C11="",$F11="",$G11=""),"",IF(AND($F11&lt;=Paramètres!$C$15+6,$G11&gt;=Paramètres!$C$15),1,""))</f>
        <v/>
      </c>
      <c r="O11" s="28">
        <f>IF(OR($C11="",$F11="",$G11=""),"",IF(AND($F11&lt;=Paramètres!$C$16+6,$G11&gt;=Paramètres!$C$16),1,""))</f>
        <v/>
      </c>
      <c r="P11" s="28">
        <f>IF(OR($C11="",$F11="",$G11=""),"",IF(AND($F11&lt;=Paramètres!$C$17+6,$G11&gt;=Paramètres!$C$17),1,""))</f>
        <v/>
      </c>
      <c r="Q11" s="28">
        <f>IF(OR($C11="",$F11="",$G11=""),"",IF(AND($F11&lt;=Paramètres!$C$18+6,$G11&gt;=Paramètres!$C$18),1,""))</f>
        <v/>
      </c>
      <c r="R11" s="28">
        <f>IF(OR($C11="",$F11="",$G11=""),"",IF(AND($F11&lt;=Paramètres!$C$19+6,$G11&gt;=Paramètres!$C$19),1,""))</f>
        <v/>
      </c>
      <c r="S11" s="28">
        <f>IF(OR($C11="",$F11="",$G11=""),"",IF(AND($F11&lt;=Paramètres!$C$20+6,$G11&gt;=Paramètres!$C$20),1,""))</f>
        <v/>
      </c>
      <c r="T11" s="28">
        <f>IF(OR($C11="",$F11="",$G11=""),"",IF(AND($F11&lt;=Paramètres!$C$21+6,$G11&gt;=Paramètres!$C$21),1,""))</f>
        <v/>
      </c>
      <c r="U11" s="28">
        <f>IF(OR($C11="",$F11="",$G11=""),"",IF(AND($F11&lt;=Paramètres!$C$22+6,$G11&gt;=Paramètres!$C$22),1,""))</f>
        <v/>
      </c>
      <c r="V11" s="28">
        <f>IF(OR($C11="",$F11="",$G11=""),"",IF(AND($F11&lt;=Paramètres!$C$23+6,$G11&gt;=Paramètres!$C$23),1,""))</f>
        <v/>
      </c>
      <c r="W11" s="28">
        <f>IF(OR($C11="",$F11="",$G11=""),"",IF(AND($F11&lt;=Paramètres!$C$24+6,$G11&gt;=Paramètres!$C$24),1,""))</f>
        <v/>
      </c>
      <c r="X11" s="28">
        <f>IF(OR($C11="",$F11="",$G11=""),"",IF(AND($F11&lt;=Paramètres!$C$25+6,$G11&gt;=Paramètres!$C$25),1,""))</f>
        <v/>
      </c>
      <c r="Y11" s="28">
        <f>IF(OR($C11="",$F11="",$G11=""),"",IF(AND($F11&lt;=Paramètres!$C$26+6,$G11&gt;=Paramètres!$C$26),1,""))</f>
        <v/>
      </c>
      <c r="Z11" s="28">
        <f>IF(OR($C11="",$F11="",$G11=""),"",IF(AND($F11&lt;=Paramètres!$C$27+6,$G11&gt;=Paramètres!$C$27),1,""))</f>
        <v/>
      </c>
    </row>
    <row r="12" ht="22" customHeight="1">
      <c r="B12" s="24" t="inlineStr">
        <is>
          <t>UE2</t>
        </is>
      </c>
      <c r="C12" s="25" t="inlineStr">
        <is>
          <t>Évaluation d'entreprise</t>
        </is>
      </c>
      <c r="D12" s="24" t="inlineStr">
        <is>
          <t>Cours</t>
        </is>
      </c>
      <c r="E12" s="24" t="inlineStr">
        <is>
          <t>Haute</t>
        </is>
      </c>
      <c r="F12" s="26">
        <f>Paramètres!$C$5+(3-1)*7</f>
        <v/>
      </c>
      <c r="G12" s="26">
        <f>Paramètres!$C$5+(4)*7-1</f>
        <v/>
      </c>
      <c r="H12" s="27" t="n">
        <v>0</v>
      </c>
      <c r="I12" s="15">
        <f>IF(C12="","",IF(H12&gt;=1,"Terminé",IF(AND(G12&lt;&gt;"",G12&lt;TODAY(),H12&lt;1),"En retard",IF(H12&gt;0,"En cours","À faire"))))</f>
        <v/>
      </c>
      <c r="J12" s="15">
        <f>IF(OR(C12="",G12=""),"",G12-TODAY())</f>
        <v/>
      </c>
      <c r="K12" s="28">
        <f>IF(OR($C12="",$F12="",$G12=""),"",IF(AND($F12&lt;=Paramètres!$C$12+6,$G12&gt;=Paramètres!$C$12),1,""))</f>
        <v/>
      </c>
      <c r="L12" s="28">
        <f>IF(OR($C12="",$F12="",$G12=""),"",IF(AND($F12&lt;=Paramètres!$C$13+6,$G12&gt;=Paramètres!$C$13),1,""))</f>
        <v/>
      </c>
      <c r="M12" s="28">
        <f>IF(OR($C12="",$F12="",$G12=""),"",IF(AND($F12&lt;=Paramètres!$C$14+6,$G12&gt;=Paramètres!$C$14),1,""))</f>
        <v/>
      </c>
      <c r="N12" s="28">
        <f>IF(OR($C12="",$F12="",$G12=""),"",IF(AND($F12&lt;=Paramètres!$C$15+6,$G12&gt;=Paramètres!$C$15),1,""))</f>
        <v/>
      </c>
      <c r="O12" s="28">
        <f>IF(OR($C12="",$F12="",$G12=""),"",IF(AND($F12&lt;=Paramètres!$C$16+6,$G12&gt;=Paramètres!$C$16),1,""))</f>
        <v/>
      </c>
      <c r="P12" s="28">
        <f>IF(OR($C12="",$F12="",$G12=""),"",IF(AND($F12&lt;=Paramètres!$C$17+6,$G12&gt;=Paramètres!$C$17),1,""))</f>
        <v/>
      </c>
      <c r="Q12" s="28">
        <f>IF(OR($C12="",$F12="",$G12=""),"",IF(AND($F12&lt;=Paramètres!$C$18+6,$G12&gt;=Paramètres!$C$18),1,""))</f>
        <v/>
      </c>
      <c r="R12" s="28">
        <f>IF(OR($C12="",$F12="",$G12=""),"",IF(AND($F12&lt;=Paramètres!$C$19+6,$G12&gt;=Paramètres!$C$19),1,""))</f>
        <v/>
      </c>
      <c r="S12" s="28">
        <f>IF(OR($C12="",$F12="",$G12=""),"",IF(AND($F12&lt;=Paramètres!$C$20+6,$G12&gt;=Paramètres!$C$20),1,""))</f>
        <v/>
      </c>
      <c r="T12" s="28">
        <f>IF(OR($C12="",$F12="",$G12=""),"",IF(AND($F12&lt;=Paramètres!$C$21+6,$G12&gt;=Paramètres!$C$21),1,""))</f>
        <v/>
      </c>
      <c r="U12" s="28">
        <f>IF(OR($C12="",$F12="",$G12=""),"",IF(AND($F12&lt;=Paramètres!$C$22+6,$G12&gt;=Paramètres!$C$22),1,""))</f>
        <v/>
      </c>
      <c r="V12" s="28">
        <f>IF(OR($C12="",$F12="",$G12=""),"",IF(AND($F12&lt;=Paramètres!$C$23+6,$G12&gt;=Paramètres!$C$23),1,""))</f>
        <v/>
      </c>
      <c r="W12" s="28">
        <f>IF(OR($C12="",$F12="",$G12=""),"",IF(AND($F12&lt;=Paramètres!$C$24+6,$G12&gt;=Paramètres!$C$24),1,""))</f>
        <v/>
      </c>
      <c r="X12" s="28">
        <f>IF(OR($C12="",$F12="",$G12=""),"",IF(AND($F12&lt;=Paramètres!$C$25+6,$G12&gt;=Paramètres!$C$25),1,""))</f>
        <v/>
      </c>
      <c r="Y12" s="28">
        <f>IF(OR($C12="",$F12="",$G12=""),"",IF(AND($F12&lt;=Paramètres!$C$26+6,$G12&gt;=Paramètres!$C$26),1,""))</f>
        <v/>
      </c>
      <c r="Z12" s="28">
        <f>IF(OR($C12="",$F12="",$G12=""),"",IF(AND($F12&lt;=Paramètres!$C$27+6,$G12&gt;=Paramètres!$C$27),1,""))</f>
        <v/>
      </c>
    </row>
    <row r="13" ht="22" customHeight="1">
      <c r="B13" s="24" t="inlineStr">
        <is>
          <t>UE2</t>
        </is>
      </c>
      <c r="C13" s="25" t="inlineStr">
        <is>
          <t>Politique d'investissement &amp; VAN/TRI</t>
        </is>
      </c>
      <c r="D13" s="24" t="inlineStr">
        <is>
          <t>Exercices</t>
        </is>
      </c>
      <c r="E13" s="24" t="inlineStr">
        <is>
          <t>Haute</t>
        </is>
      </c>
      <c r="F13" s="26">
        <f>Paramètres!$C$5+(5-1)*7</f>
        <v/>
      </c>
      <c r="G13" s="26">
        <f>Paramètres!$C$5+(6)*7-1</f>
        <v/>
      </c>
      <c r="H13" s="27" t="n">
        <v>0</v>
      </c>
      <c r="I13" s="15">
        <f>IF(C13="","",IF(H13&gt;=1,"Terminé",IF(AND(G13&lt;&gt;"",G13&lt;TODAY(),H13&lt;1),"En retard",IF(H13&gt;0,"En cours","À faire"))))</f>
        <v/>
      </c>
      <c r="J13" s="15">
        <f>IF(OR(C13="",G13=""),"",G13-TODAY())</f>
        <v/>
      </c>
      <c r="K13" s="28">
        <f>IF(OR($C13="",$F13="",$G13=""),"",IF(AND($F13&lt;=Paramètres!$C$12+6,$G13&gt;=Paramètres!$C$12),1,""))</f>
        <v/>
      </c>
      <c r="L13" s="28">
        <f>IF(OR($C13="",$F13="",$G13=""),"",IF(AND($F13&lt;=Paramètres!$C$13+6,$G13&gt;=Paramètres!$C$13),1,""))</f>
        <v/>
      </c>
      <c r="M13" s="28">
        <f>IF(OR($C13="",$F13="",$G13=""),"",IF(AND($F13&lt;=Paramètres!$C$14+6,$G13&gt;=Paramètres!$C$14),1,""))</f>
        <v/>
      </c>
      <c r="N13" s="28">
        <f>IF(OR($C13="",$F13="",$G13=""),"",IF(AND($F13&lt;=Paramètres!$C$15+6,$G13&gt;=Paramètres!$C$15),1,""))</f>
        <v/>
      </c>
      <c r="O13" s="28">
        <f>IF(OR($C13="",$F13="",$G13=""),"",IF(AND($F13&lt;=Paramètres!$C$16+6,$G13&gt;=Paramètres!$C$16),1,""))</f>
        <v/>
      </c>
      <c r="P13" s="28">
        <f>IF(OR($C13="",$F13="",$G13=""),"",IF(AND($F13&lt;=Paramètres!$C$17+6,$G13&gt;=Paramètres!$C$17),1,""))</f>
        <v/>
      </c>
      <c r="Q13" s="28">
        <f>IF(OR($C13="",$F13="",$G13=""),"",IF(AND($F13&lt;=Paramètres!$C$18+6,$G13&gt;=Paramètres!$C$18),1,""))</f>
        <v/>
      </c>
      <c r="R13" s="28">
        <f>IF(OR($C13="",$F13="",$G13=""),"",IF(AND($F13&lt;=Paramètres!$C$19+6,$G13&gt;=Paramètres!$C$19),1,""))</f>
        <v/>
      </c>
      <c r="S13" s="28">
        <f>IF(OR($C13="",$F13="",$G13=""),"",IF(AND($F13&lt;=Paramètres!$C$20+6,$G13&gt;=Paramètres!$C$20),1,""))</f>
        <v/>
      </c>
      <c r="T13" s="28">
        <f>IF(OR($C13="",$F13="",$G13=""),"",IF(AND($F13&lt;=Paramètres!$C$21+6,$G13&gt;=Paramètres!$C$21),1,""))</f>
        <v/>
      </c>
      <c r="U13" s="28">
        <f>IF(OR($C13="",$F13="",$G13=""),"",IF(AND($F13&lt;=Paramètres!$C$22+6,$G13&gt;=Paramètres!$C$22),1,""))</f>
        <v/>
      </c>
      <c r="V13" s="28">
        <f>IF(OR($C13="",$F13="",$G13=""),"",IF(AND($F13&lt;=Paramètres!$C$23+6,$G13&gt;=Paramètres!$C$23),1,""))</f>
        <v/>
      </c>
      <c r="W13" s="28">
        <f>IF(OR($C13="",$F13="",$G13=""),"",IF(AND($F13&lt;=Paramètres!$C$24+6,$G13&gt;=Paramètres!$C$24),1,""))</f>
        <v/>
      </c>
      <c r="X13" s="28">
        <f>IF(OR($C13="",$F13="",$G13=""),"",IF(AND($F13&lt;=Paramètres!$C$25+6,$G13&gt;=Paramètres!$C$25),1,""))</f>
        <v/>
      </c>
      <c r="Y13" s="28">
        <f>IF(OR($C13="",$F13="",$G13=""),"",IF(AND($F13&lt;=Paramètres!$C$26+6,$G13&gt;=Paramètres!$C$26),1,""))</f>
        <v/>
      </c>
      <c r="Z13" s="28">
        <f>IF(OR($C13="",$F13="",$G13=""),"",IF(AND($F13&lt;=Paramètres!$C$27+6,$G13&gt;=Paramètres!$C$27),1,""))</f>
        <v/>
      </c>
    </row>
    <row r="14" ht="22" customHeight="1">
      <c r="B14" s="24" t="inlineStr">
        <is>
          <t>UE2</t>
        </is>
      </c>
      <c r="C14" s="25" t="inlineStr">
        <is>
          <t>Financement &amp; structure du capital</t>
        </is>
      </c>
      <c r="D14" s="24" t="inlineStr">
        <is>
          <t>Cours</t>
        </is>
      </c>
      <c r="E14" s="24" t="inlineStr">
        <is>
          <t>Moyenne</t>
        </is>
      </c>
      <c r="F14" s="26">
        <f>Paramètres!$C$5+(7-1)*7</f>
        <v/>
      </c>
      <c r="G14" s="26">
        <f>Paramètres!$C$5+(8)*7-1</f>
        <v/>
      </c>
      <c r="H14" s="27" t="n">
        <v>0</v>
      </c>
      <c r="I14" s="15">
        <f>IF(C14="","",IF(H14&gt;=1,"Terminé",IF(AND(G14&lt;&gt;"",G14&lt;TODAY(),H14&lt;1),"En retard",IF(H14&gt;0,"En cours","À faire"))))</f>
        <v/>
      </c>
      <c r="J14" s="15">
        <f>IF(OR(C14="",G14=""),"",G14-TODAY())</f>
        <v/>
      </c>
      <c r="K14" s="28">
        <f>IF(OR($C14="",$F14="",$G14=""),"",IF(AND($F14&lt;=Paramètres!$C$12+6,$G14&gt;=Paramètres!$C$12),1,""))</f>
        <v/>
      </c>
      <c r="L14" s="28">
        <f>IF(OR($C14="",$F14="",$G14=""),"",IF(AND($F14&lt;=Paramètres!$C$13+6,$G14&gt;=Paramètres!$C$13),1,""))</f>
        <v/>
      </c>
      <c r="M14" s="28">
        <f>IF(OR($C14="",$F14="",$G14=""),"",IF(AND($F14&lt;=Paramètres!$C$14+6,$G14&gt;=Paramètres!$C$14),1,""))</f>
        <v/>
      </c>
      <c r="N14" s="28">
        <f>IF(OR($C14="",$F14="",$G14=""),"",IF(AND($F14&lt;=Paramètres!$C$15+6,$G14&gt;=Paramètres!$C$15),1,""))</f>
        <v/>
      </c>
      <c r="O14" s="28">
        <f>IF(OR($C14="",$F14="",$G14=""),"",IF(AND($F14&lt;=Paramètres!$C$16+6,$G14&gt;=Paramètres!$C$16),1,""))</f>
        <v/>
      </c>
      <c r="P14" s="28">
        <f>IF(OR($C14="",$F14="",$G14=""),"",IF(AND($F14&lt;=Paramètres!$C$17+6,$G14&gt;=Paramètres!$C$17),1,""))</f>
        <v/>
      </c>
      <c r="Q14" s="28">
        <f>IF(OR($C14="",$F14="",$G14=""),"",IF(AND($F14&lt;=Paramètres!$C$18+6,$G14&gt;=Paramètres!$C$18),1,""))</f>
        <v/>
      </c>
      <c r="R14" s="28">
        <f>IF(OR($C14="",$F14="",$G14=""),"",IF(AND($F14&lt;=Paramètres!$C$19+6,$G14&gt;=Paramètres!$C$19),1,""))</f>
        <v/>
      </c>
      <c r="S14" s="28">
        <f>IF(OR($C14="",$F14="",$G14=""),"",IF(AND($F14&lt;=Paramètres!$C$20+6,$G14&gt;=Paramètres!$C$20),1,""))</f>
        <v/>
      </c>
      <c r="T14" s="28">
        <f>IF(OR($C14="",$F14="",$G14=""),"",IF(AND($F14&lt;=Paramètres!$C$21+6,$G14&gt;=Paramètres!$C$21),1,""))</f>
        <v/>
      </c>
      <c r="U14" s="28">
        <f>IF(OR($C14="",$F14="",$G14=""),"",IF(AND($F14&lt;=Paramètres!$C$22+6,$G14&gt;=Paramètres!$C$22),1,""))</f>
        <v/>
      </c>
      <c r="V14" s="28">
        <f>IF(OR($C14="",$F14="",$G14=""),"",IF(AND($F14&lt;=Paramètres!$C$23+6,$G14&gt;=Paramètres!$C$23),1,""))</f>
        <v/>
      </c>
      <c r="W14" s="28">
        <f>IF(OR($C14="",$F14="",$G14=""),"",IF(AND($F14&lt;=Paramètres!$C$24+6,$G14&gt;=Paramètres!$C$24),1,""))</f>
        <v/>
      </c>
      <c r="X14" s="28">
        <f>IF(OR($C14="",$F14="",$G14=""),"",IF(AND($F14&lt;=Paramètres!$C$25+6,$G14&gt;=Paramètres!$C$25),1,""))</f>
        <v/>
      </c>
      <c r="Y14" s="28">
        <f>IF(OR($C14="",$F14="",$G14=""),"",IF(AND($F14&lt;=Paramètres!$C$26+6,$G14&gt;=Paramètres!$C$26),1,""))</f>
        <v/>
      </c>
      <c r="Z14" s="28">
        <f>IF(OR($C14="",$F14="",$G14=""),"",IF(AND($F14&lt;=Paramètres!$C$27+6,$G14&gt;=Paramètres!$C$27),1,""))</f>
        <v/>
      </c>
    </row>
    <row r="15" ht="22" customHeight="1">
      <c r="B15" s="24" t="inlineStr">
        <is>
          <t>UE2</t>
        </is>
      </c>
      <c r="C15" s="25" t="inlineStr">
        <is>
          <t>Ingénierie financière &amp; fusions</t>
        </is>
      </c>
      <c r="D15" s="24" t="inlineStr">
        <is>
          <t>Cours</t>
        </is>
      </c>
      <c r="E15" s="24" t="inlineStr">
        <is>
          <t>Moyenne</t>
        </is>
      </c>
      <c r="F15" s="26">
        <f>Paramètres!$C$5+(9-1)*7</f>
        <v/>
      </c>
      <c r="G15" s="26">
        <f>Paramètres!$C$5+(10)*7-1</f>
        <v/>
      </c>
      <c r="H15" s="27" t="n">
        <v>0</v>
      </c>
      <c r="I15" s="15">
        <f>IF(C15="","",IF(H15&gt;=1,"Terminé",IF(AND(G15&lt;&gt;"",G15&lt;TODAY(),H15&lt;1),"En retard",IF(H15&gt;0,"En cours","À faire"))))</f>
        <v/>
      </c>
      <c r="J15" s="15">
        <f>IF(OR(C15="",G15=""),"",G15-TODAY())</f>
        <v/>
      </c>
      <c r="K15" s="28">
        <f>IF(OR($C15="",$F15="",$G15=""),"",IF(AND($F15&lt;=Paramètres!$C$12+6,$G15&gt;=Paramètres!$C$12),1,""))</f>
        <v/>
      </c>
      <c r="L15" s="28">
        <f>IF(OR($C15="",$F15="",$G15=""),"",IF(AND($F15&lt;=Paramètres!$C$13+6,$G15&gt;=Paramètres!$C$13),1,""))</f>
        <v/>
      </c>
      <c r="M15" s="28">
        <f>IF(OR($C15="",$F15="",$G15=""),"",IF(AND($F15&lt;=Paramètres!$C$14+6,$G15&gt;=Paramètres!$C$14),1,""))</f>
        <v/>
      </c>
      <c r="N15" s="28">
        <f>IF(OR($C15="",$F15="",$G15=""),"",IF(AND($F15&lt;=Paramètres!$C$15+6,$G15&gt;=Paramètres!$C$15),1,""))</f>
        <v/>
      </c>
      <c r="O15" s="28">
        <f>IF(OR($C15="",$F15="",$G15=""),"",IF(AND($F15&lt;=Paramètres!$C$16+6,$G15&gt;=Paramètres!$C$16),1,""))</f>
        <v/>
      </c>
      <c r="P15" s="28">
        <f>IF(OR($C15="",$F15="",$G15=""),"",IF(AND($F15&lt;=Paramètres!$C$17+6,$G15&gt;=Paramètres!$C$17),1,""))</f>
        <v/>
      </c>
      <c r="Q15" s="28">
        <f>IF(OR($C15="",$F15="",$G15=""),"",IF(AND($F15&lt;=Paramètres!$C$18+6,$G15&gt;=Paramètres!$C$18),1,""))</f>
        <v/>
      </c>
      <c r="R15" s="28">
        <f>IF(OR($C15="",$F15="",$G15=""),"",IF(AND($F15&lt;=Paramètres!$C$19+6,$G15&gt;=Paramètres!$C$19),1,""))</f>
        <v/>
      </c>
      <c r="S15" s="28">
        <f>IF(OR($C15="",$F15="",$G15=""),"",IF(AND($F15&lt;=Paramètres!$C$20+6,$G15&gt;=Paramètres!$C$20),1,""))</f>
        <v/>
      </c>
      <c r="T15" s="28">
        <f>IF(OR($C15="",$F15="",$G15=""),"",IF(AND($F15&lt;=Paramètres!$C$21+6,$G15&gt;=Paramètres!$C$21),1,""))</f>
        <v/>
      </c>
      <c r="U15" s="28">
        <f>IF(OR($C15="",$F15="",$G15=""),"",IF(AND($F15&lt;=Paramètres!$C$22+6,$G15&gt;=Paramètres!$C$22),1,""))</f>
        <v/>
      </c>
      <c r="V15" s="28">
        <f>IF(OR($C15="",$F15="",$G15=""),"",IF(AND($F15&lt;=Paramètres!$C$23+6,$G15&gt;=Paramètres!$C$23),1,""))</f>
        <v/>
      </c>
      <c r="W15" s="28">
        <f>IF(OR($C15="",$F15="",$G15=""),"",IF(AND($F15&lt;=Paramètres!$C$24+6,$G15&gt;=Paramètres!$C$24),1,""))</f>
        <v/>
      </c>
      <c r="X15" s="28">
        <f>IF(OR($C15="",$F15="",$G15=""),"",IF(AND($F15&lt;=Paramètres!$C$25+6,$G15&gt;=Paramètres!$C$25),1,""))</f>
        <v/>
      </c>
      <c r="Y15" s="28">
        <f>IF(OR($C15="",$F15="",$G15=""),"",IF(AND($F15&lt;=Paramètres!$C$26+6,$G15&gt;=Paramètres!$C$26),1,""))</f>
        <v/>
      </c>
      <c r="Z15" s="28">
        <f>IF(OR($C15="",$F15="",$G15=""),"",IF(AND($F15&lt;=Paramètres!$C$27+6,$G15&gt;=Paramètres!$C$27),1,""))</f>
        <v/>
      </c>
    </row>
    <row r="16" ht="22" customHeight="1">
      <c r="B16" s="24" t="inlineStr">
        <is>
          <t>UE2</t>
        </is>
      </c>
      <c r="C16" s="25" t="inlineStr">
        <is>
          <t>Annales UE2 — sujets blancs</t>
        </is>
      </c>
      <c r="D16" s="24" t="inlineStr">
        <is>
          <t>Annales</t>
        </is>
      </c>
      <c r="E16" s="24" t="inlineStr">
        <is>
          <t>Haute</t>
        </is>
      </c>
      <c r="F16" s="26">
        <f>Paramètres!$C$5+(14-1)*7</f>
        <v/>
      </c>
      <c r="G16" s="26">
        <f>Paramètres!$C$5+(15)*7-1</f>
        <v/>
      </c>
      <c r="H16" s="27" t="n">
        <v>0</v>
      </c>
      <c r="I16" s="15">
        <f>IF(C16="","",IF(H16&gt;=1,"Terminé",IF(AND(G16&lt;&gt;"",G16&lt;TODAY(),H16&lt;1),"En retard",IF(H16&gt;0,"En cours","À faire"))))</f>
        <v/>
      </c>
      <c r="J16" s="15">
        <f>IF(OR(C16="",G16=""),"",G16-TODAY())</f>
        <v/>
      </c>
      <c r="K16" s="28">
        <f>IF(OR($C16="",$F16="",$G16=""),"",IF(AND($F16&lt;=Paramètres!$C$12+6,$G16&gt;=Paramètres!$C$12),1,""))</f>
        <v/>
      </c>
      <c r="L16" s="28">
        <f>IF(OR($C16="",$F16="",$G16=""),"",IF(AND($F16&lt;=Paramètres!$C$13+6,$G16&gt;=Paramètres!$C$13),1,""))</f>
        <v/>
      </c>
      <c r="M16" s="28">
        <f>IF(OR($C16="",$F16="",$G16=""),"",IF(AND($F16&lt;=Paramètres!$C$14+6,$G16&gt;=Paramètres!$C$14),1,""))</f>
        <v/>
      </c>
      <c r="N16" s="28">
        <f>IF(OR($C16="",$F16="",$G16=""),"",IF(AND($F16&lt;=Paramètres!$C$15+6,$G16&gt;=Paramètres!$C$15),1,""))</f>
        <v/>
      </c>
      <c r="O16" s="28">
        <f>IF(OR($C16="",$F16="",$G16=""),"",IF(AND($F16&lt;=Paramètres!$C$16+6,$G16&gt;=Paramètres!$C$16),1,""))</f>
        <v/>
      </c>
      <c r="P16" s="28">
        <f>IF(OR($C16="",$F16="",$G16=""),"",IF(AND($F16&lt;=Paramètres!$C$17+6,$G16&gt;=Paramètres!$C$17),1,""))</f>
        <v/>
      </c>
      <c r="Q16" s="28">
        <f>IF(OR($C16="",$F16="",$G16=""),"",IF(AND($F16&lt;=Paramètres!$C$18+6,$G16&gt;=Paramètres!$C$18),1,""))</f>
        <v/>
      </c>
      <c r="R16" s="28">
        <f>IF(OR($C16="",$F16="",$G16=""),"",IF(AND($F16&lt;=Paramètres!$C$19+6,$G16&gt;=Paramètres!$C$19),1,""))</f>
        <v/>
      </c>
      <c r="S16" s="28">
        <f>IF(OR($C16="",$F16="",$G16=""),"",IF(AND($F16&lt;=Paramètres!$C$20+6,$G16&gt;=Paramètres!$C$20),1,""))</f>
        <v/>
      </c>
      <c r="T16" s="28">
        <f>IF(OR($C16="",$F16="",$G16=""),"",IF(AND($F16&lt;=Paramètres!$C$21+6,$G16&gt;=Paramètres!$C$21),1,""))</f>
        <v/>
      </c>
      <c r="U16" s="28">
        <f>IF(OR($C16="",$F16="",$G16=""),"",IF(AND($F16&lt;=Paramètres!$C$22+6,$G16&gt;=Paramètres!$C$22),1,""))</f>
        <v/>
      </c>
      <c r="V16" s="28">
        <f>IF(OR($C16="",$F16="",$G16=""),"",IF(AND($F16&lt;=Paramètres!$C$23+6,$G16&gt;=Paramètres!$C$23),1,""))</f>
        <v/>
      </c>
      <c r="W16" s="28">
        <f>IF(OR($C16="",$F16="",$G16=""),"",IF(AND($F16&lt;=Paramètres!$C$24+6,$G16&gt;=Paramètres!$C$24),1,""))</f>
        <v/>
      </c>
      <c r="X16" s="28">
        <f>IF(OR($C16="",$F16="",$G16=""),"",IF(AND($F16&lt;=Paramètres!$C$25+6,$G16&gt;=Paramètres!$C$25),1,""))</f>
        <v/>
      </c>
      <c r="Y16" s="28">
        <f>IF(OR($C16="",$F16="",$G16=""),"",IF(AND($F16&lt;=Paramètres!$C$26+6,$G16&gt;=Paramètres!$C$26),1,""))</f>
        <v/>
      </c>
      <c r="Z16" s="28">
        <f>IF(OR($C16="",$F16="",$G16=""),"",IF(AND($F16&lt;=Paramètres!$C$27+6,$G16&gt;=Paramètres!$C$27),1,""))</f>
        <v/>
      </c>
    </row>
    <row r="17" ht="22" customHeight="1">
      <c r="B17" s="24" t="inlineStr">
        <is>
          <t>UE3</t>
        </is>
      </c>
      <c r="C17" s="25" t="inlineStr">
        <is>
          <t>Pilotage stratégique &amp; BSC</t>
        </is>
      </c>
      <c r="D17" s="24" t="inlineStr">
        <is>
          <t>Cours</t>
        </is>
      </c>
      <c r="E17" s="24" t="inlineStr">
        <is>
          <t>Moyenne</t>
        </is>
      </c>
      <c r="F17" s="26">
        <f>Paramètres!$C$5+(2-1)*7</f>
        <v/>
      </c>
      <c r="G17" s="26">
        <f>Paramètres!$C$5+(3)*7-1</f>
        <v/>
      </c>
      <c r="H17" s="27" t="n">
        <v>0</v>
      </c>
      <c r="I17" s="15">
        <f>IF(C17="","",IF(H17&gt;=1,"Terminé",IF(AND(G17&lt;&gt;"",G17&lt;TODAY(),H17&lt;1),"En retard",IF(H17&gt;0,"En cours","À faire"))))</f>
        <v/>
      </c>
      <c r="J17" s="15">
        <f>IF(OR(C17="",G17=""),"",G17-TODAY())</f>
        <v/>
      </c>
      <c r="K17" s="28">
        <f>IF(OR($C17="",$F17="",$G17=""),"",IF(AND($F17&lt;=Paramètres!$C$12+6,$G17&gt;=Paramètres!$C$12),1,""))</f>
        <v/>
      </c>
      <c r="L17" s="28">
        <f>IF(OR($C17="",$F17="",$G17=""),"",IF(AND($F17&lt;=Paramètres!$C$13+6,$G17&gt;=Paramètres!$C$13),1,""))</f>
        <v/>
      </c>
      <c r="M17" s="28">
        <f>IF(OR($C17="",$F17="",$G17=""),"",IF(AND($F17&lt;=Paramètres!$C$14+6,$G17&gt;=Paramètres!$C$14),1,""))</f>
        <v/>
      </c>
      <c r="N17" s="28">
        <f>IF(OR($C17="",$F17="",$G17=""),"",IF(AND($F17&lt;=Paramètres!$C$15+6,$G17&gt;=Paramètres!$C$15),1,""))</f>
        <v/>
      </c>
      <c r="O17" s="28">
        <f>IF(OR($C17="",$F17="",$G17=""),"",IF(AND($F17&lt;=Paramètres!$C$16+6,$G17&gt;=Paramètres!$C$16),1,""))</f>
        <v/>
      </c>
      <c r="P17" s="28">
        <f>IF(OR($C17="",$F17="",$G17=""),"",IF(AND($F17&lt;=Paramètres!$C$17+6,$G17&gt;=Paramètres!$C$17),1,""))</f>
        <v/>
      </c>
      <c r="Q17" s="28">
        <f>IF(OR($C17="",$F17="",$G17=""),"",IF(AND($F17&lt;=Paramètres!$C$18+6,$G17&gt;=Paramètres!$C$18),1,""))</f>
        <v/>
      </c>
      <c r="R17" s="28">
        <f>IF(OR($C17="",$F17="",$G17=""),"",IF(AND($F17&lt;=Paramètres!$C$19+6,$G17&gt;=Paramètres!$C$19),1,""))</f>
        <v/>
      </c>
      <c r="S17" s="28">
        <f>IF(OR($C17="",$F17="",$G17=""),"",IF(AND($F17&lt;=Paramètres!$C$20+6,$G17&gt;=Paramètres!$C$20),1,""))</f>
        <v/>
      </c>
      <c r="T17" s="28">
        <f>IF(OR($C17="",$F17="",$G17=""),"",IF(AND($F17&lt;=Paramètres!$C$21+6,$G17&gt;=Paramètres!$C$21),1,""))</f>
        <v/>
      </c>
      <c r="U17" s="28">
        <f>IF(OR($C17="",$F17="",$G17=""),"",IF(AND($F17&lt;=Paramètres!$C$22+6,$G17&gt;=Paramètres!$C$22),1,""))</f>
        <v/>
      </c>
      <c r="V17" s="28">
        <f>IF(OR($C17="",$F17="",$G17=""),"",IF(AND($F17&lt;=Paramètres!$C$23+6,$G17&gt;=Paramètres!$C$23),1,""))</f>
        <v/>
      </c>
      <c r="W17" s="28">
        <f>IF(OR($C17="",$F17="",$G17=""),"",IF(AND($F17&lt;=Paramètres!$C$24+6,$G17&gt;=Paramètres!$C$24),1,""))</f>
        <v/>
      </c>
      <c r="X17" s="28">
        <f>IF(OR($C17="",$F17="",$G17=""),"",IF(AND($F17&lt;=Paramètres!$C$25+6,$G17&gt;=Paramètres!$C$25),1,""))</f>
        <v/>
      </c>
      <c r="Y17" s="28">
        <f>IF(OR($C17="",$F17="",$G17=""),"",IF(AND($F17&lt;=Paramètres!$C$26+6,$G17&gt;=Paramètres!$C$26),1,""))</f>
        <v/>
      </c>
      <c r="Z17" s="28">
        <f>IF(OR($C17="",$F17="",$G17=""),"",IF(AND($F17&lt;=Paramètres!$C$27+6,$G17&gt;=Paramètres!$C$27),1,""))</f>
        <v/>
      </c>
    </row>
    <row r="18" ht="22" customHeight="1">
      <c r="B18" s="24" t="inlineStr">
        <is>
          <t>UE3</t>
        </is>
      </c>
      <c r="C18" s="25" t="inlineStr">
        <is>
          <t>Contrôle de gestion — coûts &amp; budgets</t>
        </is>
      </c>
      <c r="D18" s="24" t="inlineStr">
        <is>
          <t>Exercices</t>
        </is>
      </c>
      <c r="E18" s="24" t="inlineStr">
        <is>
          <t>Haute</t>
        </is>
      </c>
      <c r="F18" s="26">
        <f>Paramètres!$C$5+(4-1)*7</f>
        <v/>
      </c>
      <c r="G18" s="26">
        <f>Paramètres!$C$5+(6)*7-1</f>
        <v/>
      </c>
      <c r="H18" s="27" t="n">
        <v>0</v>
      </c>
      <c r="I18" s="15">
        <f>IF(C18="","",IF(H18&gt;=1,"Terminé",IF(AND(G18&lt;&gt;"",G18&lt;TODAY(),H18&lt;1),"En retard",IF(H18&gt;0,"En cours","À faire"))))</f>
        <v/>
      </c>
      <c r="J18" s="15">
        <f>IF(OR(C18="",G18=""),"",G18-TODAY())</f>
        <v/>
      </c>
      <c r="K18" s="28">
        <f>IF(OR($C18="",$F18="",$G18=""),"",IF(AND($F18&lt;=Paramètres!$C$12+6,$G18&gt;=Paramètres!$C$12),1,""))</f>
        <v/>
      </c>
      <c r="L18" s="28">
        <f>IF(OR($C18="",$F18="",$G18=""),"",IF(AND($F18&lt;=Paramètres!$C$13+6,$G18&gt;=Paramètres!$C$13),1,""))</f>
        <v/>
      </c>
      <c r="M18" s="28">
        <f>IF(OR($C18="",$F18="",$G18=""),"",IF(AND($F18&lt;=Paramètres!$C$14+6,$G18&gt;=Paramètres!$C$14),1,""))</f>
        <v/>
      </c>
      <c r="N18" s="28">
        <f>IF(OR($C18="",$F18="",$G18=""),"",IF(AND($F18&lt;=Paramètres!$C$15+6,$G18&gt;=Paramètres!$C$15),1,""))</f>
        <v/>
      </c>
      <c r="O18" s="28">
        <f>IF(OR($C18="",$F18="",$G18=""),"",IF(AND($F18&lt;=Paramètres!$C$16+6,$G18&gt;=Paramètres!$C$16),1,""))</f>
        <v/>
      </c>
      <c r="P18" s="28">
        <f>IF(OR($C18="",$F18="",$G18=""),"",IF(AND($F18&lt;=Paramètres!$C$17+6,$G18&gt;=Paramètres!$C$17),1,""))</f>
        <v/>
      </c>
      <c r="Q18" s="28">
        <f>IF(OR($C18="",$F18="",$G18=""),"",IF(AND($F18&lt;=Paramètres!$C$18+6,$G18&gt;=Paramètres!$C$18),1,""))</f>
        <v/>
      </c>
      <c r="R18" s="28">
        <f>IF(OR($C18="",$F18="",$G18=""),"",IF(AND($F18&lt;=Paramètres!$C$19+6,$G18&gt;=Paramètres!$C$19),1,""))</f>
        <v/>
      </c>
      <c r="S18" s="28">
        <f>IF(OR($C18="",$F18="",$G18=""),"",IF(AND($F18&lt;=Paramètres!$C$20+6,$G18&gt;=Paramètres!$C$20),1,""))</f>
        <v/>
      </c>
      <c r="T18" s="28">
        <f>IF(OR($C18="",$F18="",$G18=""),"",IF(AND($F18&lt;=Paramètres!$C$21+6,$G18&gt;=Paramètres!$C$21),1,""))</f>
        <v/>
      </c>
      <c r="U18" s="28">
        <f>IF(OR($C18="",$F18="",$G18=""),"",IF(AND($F18&lt;=Paramètres!$C$22+6,$G18&gt;=Paramètres!$C$22),1,""))</f>
        <v/>
      </c>
      <c r="V18" s="28">
        <f>IF(OR($C18="",$F18="",$G18=""),"",IF(AND($F18&lt;=Paramètres!$C$23+6,$G18&gt;=Paramètres!$C$23),1,""))</f>
        <v/>
      </c>
      <c r="W18" s="28">
        <f>IF(OR($C18="",$F18="",$G18=""),"",IF(AND($F18&lt;=Paramètres!$C$24+6,$G18&gt;=Paramètres!$C$24),1,""))</f>
        <v/>
      </c>
      <c r="X18" s="28">
        <f>IF(OR($C18="",$F18="",$G18=""),"",IF(AND($F18&lt;=Paramètres!$C$25+6,$G18&gt;=Paramètres!$C$25),1,""))</f>
        <v/>
      </c>
      <c r="Y18" s="28">
        <f>IF(OR($C18="",$F18="",$G18=""),"",IF(AND($F18&lt;=Paramètres!$C$26+6,$G18&gt;=Paramètres!$C$26),1,""))</f>
        <v/>
      </c>
      <c r="Z18" s="28">
        <f>IF(OR($C18="",$F18="",$G18=""),"",IF(AND($F18&lt;=Paramètres!$C$27+6,$G18&gt;=Paramètres!$C$27),1,""))</f>
        <v/>
      </c>
    </row>
    <row r="19" ht="22" customHeight="1">
      <c r="B19" s="24" t="inlineStr">
        <is>
          <t>UE3</t>
        </is>
      </c>
      <c r="C19" s="25" t="inlineStr">
        <is>
          <t>Gestion de projet &amp; organisation</t>
        </is>
      </c>
      <c r="D19" s="24" t="inlineStr">
        <is>
          <t>Cours</t>
        </is>
      </c>
      <c r="E19" s="24" t="inlineStr">
        <is>
          <t>Basse</t>
        </is>
      </c>
      <c r="F19" s="26">
        <f>Paramètres!$C$5+(8-1)*7</f>
        <v/>
      </c>
      <c r="G19" s="26">
        <f>Paramètres!$C$5+(9)*7-1</f>
        <v/>
      </c>
      <c r="H19" s="27" t="n">
        <v>0</v>
      </c>
      <c r="I19" s="15">
        <f>IF(C19="","",IF(H19&gt;=1,"Terminé",IF(AND(G19&lt;&gt;"",G19&lt;TODAY(),H19&lt;1),"En retard",IF(H19&gt;0,"En cours","À faire"))))</f>
        <v/>
      </c>
      <c r="J19" s="15">
        <f>IF(OR(C19="",G19=""),"",G19-TODAY())</f>
        <v/>
      </c>
      <c r="K19" s="28">
        <f>IF(OR($C19="",$F19="",$G19=""),"",IF(AND($F19&lt;=Paramètres!$C$12+6,$G19&gt;=Paramètres!$C$12),1,""))</f>
        <v/>
      </c>
      <c r="L19" s="28">
        <f>IF(OR($C19="",$F19="",$G19=""),"",IF(AND($F19&lt;=Paramètres!$C$13+6,$G19&gt;=Paramètres!$C$13),1,""))</f>
        <v/>
      </c>
      <c r="M19" s="28">
        <f>IF(OR($C19="",$F19="",$G19=""),"",IF(AND($F19&lt;=Paramètres!$C$14+6,$G19&gt;=Paramètres!$C$14),1,""))</f>
        <v/>
      </c>
      <c r="N19" s="28">
        <f>IF(OR($C19="",$F19="",$G19=""),"",IF(AND($F19&lt;=Paramètres!$C$15+6,$G19&gt;=Paramètres!$C$15),1,""))</f>
        <v/>
      </c>
      <c r="O19" s="28">
        <f>IF(OR($C19="",$F19="",$G19=""),"",IF(AND($F19&lt;=Paramètres!$C$16+6,$G19&gt;=Paramètres!$C$16),1,""))</f>
        <v/>
      </c>
      <c r="P19" s="28">
        <f>IF(OR($C19="",$F19="",$G19=""),"",IF(AND($F19&lt;=Paramètres!$C$17+6,$G19&gt;=Paramètres!$C$17),1,""))</f>
        <v/>
      </c>
      <c r="Q19" s="28">
        <f>IF(OR($C19="",$F19="",$G19=""),"",IF(AND($F19&lt;=Paramètres!$C$18+6,$G19&gt;=Paramètres!$C$18),1,""))</f>
        <v/>
      </c>
      <c r="R19" s="28">
        <f>IF(OR($C19="",$F19="",$G19=""),"",IF(AND($F19&lt;=Paramètres!$C$19+6,$G19&gt;=Paramètres!$C$19),1,""))</f>
        <v/>
      </c>
      <c r="S19" s="28">
        <f>IF(OR($C19="",$F19="",$G19=""),"",IF(AND($F19&lt;=Paramètres!$C$20+6,$G19&gt;=Paramètres!$C$20),1,""))</f>
        <v/>
      </c>
      <c r="T19" s="28">
        <f>IF(OR($C19="",$F19="",$G19=""),"",IF(AND($F19&lt;=Paramètres!$C$21+6,$G19&gt;=Paramètres!$C$21),1,""))</f>
        <v/>
      </c>
      <c r="U19" s="28">
        <f>IF(OR($C19="",$F19="",$G19=""),"",IF(AND($F19&lt;=Paramètres!$C$22+6,$G19&gt;=Paramètres!$C$22),1,""))</f>
        <v/>
      </c>
      <c r="V19" s="28">
        <f>IF(OR($C19="",$F19="",$G19=""),"",IF(AND($F19&lt;=Paramètres!$C$23+6,$G19&gt;=Paramètres!$C$23),1,""))</f>
        <v/>
      </c>
      <c r="W19" s="28">
        <f>IF(OR($C19="",$F19="",$G19=""),"",IF(AND($F19&lt;=Paramètres!$C$24+6,$G19&gt;=Paramètres!$C$24),1,""))</f>
        <v/>
      </c>
      <c r="X19" s="28">
        <f>IF(OR($C19="",$F19="",$G19=""),"",IF(AND($F19&lt;=Paramètres!$C$25+6,$G19&gt;=Paramètres!$C$25),1,""))</f>
        <v/>
      </c>
      <c r="Y19" s="28">
        <f>IF(OR($C19="",$F19="",$G19=""),"",IF(AND($F19&lt;=Paramètres!$C$26+6,$G19&gt;=Paramètres!$C$26),1,""))</f>
        <v/>
      </c>
      <c r="Z19" s="28">
        <f>IF(OR($C19="",$F19="",$G19=""),"",IF(AND($F19&lt;=Paramètres!$C$27+6,$G19&gt;=Paramètres!$C$27),1,""))</f>
        <v/>
      </c>
    </row>
    <row r="20" ht="22" customHeight="1">
      <c r="B20" s="24" t="inlineStr">
        <is>
          <t>UE3</t>
        </is>
      </c>
      <c r="C20" s="25" t="inlineStr">
        <is>
          <t>Annales UE3 — sujets blancs</t>
        </is>
      </c>
      <c r="D20" s="24" t="inlineStr">
        <is>
          <t>Annales</t>
        </is>
      </c>
      <c r="E20" s="24" t="inlineStr">
        <is>
          <t>Moyenne</t>
        </is>
      </c>
      <c r="F20" s="26">
        <f>Paramètres!$C$5+(13-1)*7</f>
        <v/>
      </c>
      <c r="G20" s="26">
        <f>Paramètres!$C$5+(14)*7-1</f>
        <v/>
      </c>
      <c r="H20" s="27" t="n">
        <v>0</v>
      </c>
      <c r="I20" s="15">
        <f>IF(C20="","",IF(H20&gt;=1,"Terminé",IF(AND(G20&lt;&gt;"",G20&lt;TODAY(),H20&lt;1),"En retard",IF(H20&gt;0,"En cours","À faire"))))</f>
        <v/>
      </c>
      <c r="J20" s="15">
        <f>IF(OR(C20="",G20=""),"",G20-TODAY())</f>
        <v/>
      </c>
      <c r="K20" s="28">
        <f>IF(OR($C20="",$F20="",$G20=""),"",IF(AND($F20&lt;=Paramètres!$C$12+6,$G20&gt;=Paramètres!$C$12),1,""))</f>
        <v/>
      </c>
      <c r="L20" s="28">
        <f>IF(OR($C20="",$F20="",$G20=""),"",IF(AND($F20&lt;=Paramètres!$C$13+6,$G20&gt;=Paramètres!$C$13),1,""))</f>
        <v/>
      </c>
      <c r="M20" s="28">
        <f>IF(OR($C20="",$F20="",$G20=""),"",IF(AND($F20&lt;=Paramètres!$C$14+6,$G20&gt;=Paramètres!$C$14),1,""))</f>
        <v/>
      </c>
      <c r="N20" s="28">
        <f>IF(OR($C20="",$F20="",$G20=""),"",IF(AND($F20&lt;=Paramètres!$C$15+6,$G20&gt;=Paramètres!$C$15),1,""))</f>
        <v/>
      </c>
      <c r="O20" s="28">
        <f>IF(OR($C20="",$F20="",$G20=""),"",IF(AND($F20&lt;=Paramètres!$C$16+6,$G20&gt;=Paramètres!$C$16),1,""))</f>
        <v/>
      </c>
      <c r="P20" s="28">
        <f>IF(OR($C20="",$F20="",$G20=""),"",IF(AND($F20&lt;=Paramètres!$C$17+6,$G20&gt;=Paramètres!$C$17),1,""))</f>
        <v/>
      </c>
      <c r="Q20" s="28">
        <f>IF(OR($C20="",$F20="",$G20=""),"",IF(AND($F20&lt;=Paramètres!$C$18+6,$G20&gt;=Paramètres!$C$18),1,""))</f>
        <v/>
      </c>
      <c r="R20" s="28">
        <f>IF(OR($C20="",$F20="",$G20=""),"",IF(AND($F20&lt;=Paramètres!$C$19+6,$G20&gt;=Paramètres!$C$19),1,""))</f>
        <v/>
      </c>
      <c r="S20" s="28">
        <f>IF(OR($C20="",$F20="",$G20=""),"",IF(AND($F20&lt;=Paramètres!$C$20+6,$G20&gt;=Paramètres!$C$20),1,""))</f>
        <v/>
      </c>
      <c r="T20" s="28">
        <f>IF(OR($C20="",$F20="",$G20=""),"",IF(AND($F20&lt;=Paramètres!$C$21+6,$G20&gt;=Paramètres!$C$21),1,""))</f>
        <v/>
      </c>
      <c r="U20" s="28">
        <f>IF(OR($C20="",$F20="",$G20=""),"",IF(AND($F20&lt;=Paramètres!$C$22+6,$G20&gt;=Paramètres!$C$22),1,""))</f>
        <v/>
      </c>
      <c r="V20" s="28">
        <f>IF(OR($C20="",$F20="",$G20=""),"",IF(AND($F20&lt;=Paramètres!$C$23+6,$G20&gt;=Paramètres!$C$23),1,""))</f>
        <v/>
      </c>
      <c r="W20" s="28">
        <f>IF(OR($C20="",$F20="",$G20=""),"",IF(AND($F20&lt;=Paramètres!$C$24+6,$G20&gt;=Paramètres!$C$24),1,""))</f>
        <v/>
      </c>
      <c r="X20" s="28">
        <f>IF(OR($C20="",$F20="",$G20=""),"",IF(AND($F20&lt;=Paramètres!$C$25+6,$G20&gt;=Paramètres!$C$25),1,""))</f>
        <v/>
      </c>
      <c r="Y20" s="28">
        <f>IF(OR($C20="",$F20="",$G20=""),"",IF(AND($F20&lt;=Paramètres!$C$26+6,$G20&gt;=Paramètres!$C$26),1,""))</f>
        <v/>
      </c>
      <c r="Z20" s="28">
        <f>IF(OR($C20="",$F20="",$G20=""),"",IF(AND($F20&lt;=Paramètres!$C$27+6,$G20&gt;=Paramètres!$C$27),1,""))</f>
        <v/>
      </c>
    </row>
    <row r="21" ht="22" customHeight="1">
      <c r="B21" s="24" t="inlineStr">
        <is>
          <t>UE4</t>
        </is>
      </c>
      <c r="C21" s="25" t="inlineStr">
        <is>
          <t>Consolidation — pourcentages &amp; méthodes</t>
        </is>
      </c>
      <c r="D21" s="24" t="inlineStr">
        <is>
          <t>Cours</t>
        </is>
      </c>
      <c r="E21" s="24" t="inlineStr">
        <is>
          <t>Haute</t>
        </is>
      </c>
      <c r="F21" s="26">
        <f>Paramètres!$C$5+(1-1)*7</f>
        <v/>
      </c>
      <c r="G21" s="26">
        <f>Paramètres!$C$5+(3)*7-1</f>
        <v/>
      </c>
      <c r="H21" s="27" t="n">
        <v>0</v>
      </c>
      <c r="I21" s="15">
        <f>IF(C21="","",IF(H21&gt;=1,"Terminé",IF(AND(G21&lt;&gt;"",G21&lt;TODAY(),H21&lt;1),"En retard",IF(H21&gt;0,"En cours","À faire"))))</f>
        <v/>
      </c>
      <c r="J21" s="15">
        <f>IF(OR(C21="",G21=""),"",G21-TODAY())</f>
        <v/>
      </c>
      <c r="K21" s="28">
        <f>IF(OR($C21="",$F21="",$G21=""),"",IF(AND($F21&lt;=Paramètres!$C$12+6,$G21&gt;=Paramètres!$C$12),1,""))</f>
        <v/>
      </c>
      <c r="L21" s="28">
        <f>IF(OR($C21="",$F21="",$G21=""),"",IF(AND($F21&lt;=Paramètres!$C$13+6,$G21&gt;=Paramètres!$C$13),1,""))</f>
        <v/>
      </c>
      <c r="M21" s="28">
        <f>IF(OR($C21="",$F21="",$G21=""),"",IF(AND($F21&lt;=Paramètres!$C$14+6,$G21&gt;=Paramètres!$C$14),1,""))</f>
        <v/>
      </c>
      <c r="N21" s="28">
        <f>IF(OR($C21="",$F21="",$G21=""),"",IF(AND($F21&lt;=Paramètres!$C$15+6,$G21&gt;=Paramètres!$C$15),1,""))</f>
        <v/>
      </c>
      <c r="O21" s="28">
        <f>IF(OR($C21="",$F21="",$G21=""),"",IF(AND($F21&lt;=Paramètres!$C$16+6,$G21&gt;=Paramètres!$C$16),1,""))</f>
        <v/>
      </c>
      <c r="P21" s="28">
        <f>IF(OR($C21="",$F21="",$G21=""),"",IF(AND($F21&lt;=Paramètres!$C$17+6,$G21&gt;=Paramètres!$C$17),1,""))</f>
        <v/>
      </c>
      <c r="Q21" s="28">
        <f>IF(OR($C21="",$F21="",$G21=""),"",IF(AND($F21&lt;=Paramètres!$C$18+6,$G21&gt;=Paramètres!$C$18),1,""))</f>
        <v/>
      </c>
      <c r="R21" s="28">
        <f>IF(OR($C21="",$F21="",$G21=""),"",IF(AND($F21&lt;=Paramètres!$C$19+6,$G21&gt;=Paramètres!$C$19),1,""))</f>
        <v/>
      </c>
      <c r="S21" s="28">
        <f>IF(OR($C21="",$F21="",$G21=""),"",IF(AND($F21&lt;=Paramètres!$C$20+6,$G21&gt;=Paramètres!$C$20),1,""))</f>
        <v/>
      </c>
      <c r="T21" s="28">
        <f>IF(OR($C21="",$F21="",$G21=""),"",IF(AND($F21&lt;=Paramètres!$C$21+6,$G21&gt;=Paramètres!$C$21),1,""))</f>
        <v/>
      </c>
      <c r="U21" s="28">
        <f>IF(OR($C21="",$F21="",$G21=""),"",IF(AND($F21&lt;=Paramètres!$C$22+6,$G21&gt;=Paramètres!$C$22),1,""))</f>
        <v/>
      </c>
      <c r="V21" s="28">
        <f>IF(OR($C21="",$F21="",$G21=""),"",IF(AND($F21&lt;=Paramètres!$C$23+6,$G21&gt;=Paramètres!$C$23),1,""))</f>
        <v/>
      </c>
      <c r="W21" s="28">
        <f>IF(OR($C21="",$F21="",$G21=""),"",IF(AND($F21&lt;=Paramètres!$C$24+6,$G21&gt;=Paramètres!$C$24),1,""))</f>
        <v/>
      </c>
      <c r="X21" s="28">
        <f>IF(OR($C21="",$F21="",$G21=""),"",IF(AND($F21&lt;=Paramètres!$C$25+6,$G21&gt;=Paramètres!$C$25),1,""))</f>
        <v/>
      </c>
      <c r="Y21" s="28">
        <f>IF(OR($C21="",$F21="",$G21=""),"",IF(AND($F21&lt;=Paramètres!$C$26+6,$G21&gt;=Paramètres!$C$26),1,""))</f>
        <v/>
      </c>
      <c r="Z21" s="28">
        <f>IF(OR($C21="",$F21="",$G21=""),"",IF(AND($F21&lt;=Paramètres!$C$27+6,$G21&gt;=Paramètres!$C$27),1,""))</f>
        <v/>
      </c>
    </row>
    <row r="22" ht="22" customHeight="1">
      <c r="B22" s="24" t="inlineStr">
        <is>
          <t>UE4</t>
        </is>
      </c>
      <c r="C22" s="25" t="inlineStr">
        <is>
          <t>Consolidation — écarts d'acquisition &amp; variation</t>
        </is>
      </c>
      <c r="D22" s="24" t="inlineStr">
        <is>
          <t>Exercices</t>
        </is>
      </c>
      <c r="E22" s="24" t="inlineStr">
        <is>
          <t>Haute</t>
        </is>
      </c>
      <c r="F22" s="26">
        <f>Paramètres!$C$5+(4-1)*7</f>
        <v/>
      </c>
      <c r="G22" s="26">
        <f>Paramètres!$C$5+(5)*7-1</f>
        <v/>
      </c>
      <c r="H22" s="27" t="n">
        <v>0</v>
      </c>
      <c r="I22" s="15">
        <f>IF(C22="","",IF(H22&gt;=1,"Terminé",IF(AND(G22&lt;&gt;"",G22&lt;TODAY(),H22&lt;1),"En retard",IF(H22&gt;0,"En cours","À faire"))))</f>
        <v/>
      </c>
      <c r="J22" s="15">
        <f>IF(OR(C22="",G22=""),"",G22-TODAY())</f>
        <v/>
      </c>
      <c r="K22" s="28">
        <f>IF(OR($C22="",$F22="",$G22=""),"",IF(AND($F22&lt;=Paramètres!$C$12+6,$G22&gt;=Paramètres!$C$12),1,""))</f>
        <v/>
      </c>
      <c r="L22" s="28">
        <f>IF(OR($C22="",$F22="",$G22=""),"",IF(AND($F22&lt;=Paramètres!$C$13+6,$G22&gt;=Paramètres!$C$13),1,""))</f>
        <v/>
      </c>
      <c r="M22" s="28">
        <f>IF(OR($C22="",$F22="",$G22=""),"",IF(AND($F22&lt;=Paramètres!$C$14+6,$G22&gt;=Paramètres!$C$14),1,""))</f>
        <v/>
      </c>
      <c r="N22" s="28">
        <f>IF(OR($C22="",$F22="",$G22=""),"",IF(AND($F22&lt;=Paramètres!$C$15+6,$G22&gt;=Paramètres!$C$15),1,""))</f>
        <v/>
      </c>
      <c r="O22" s="28">
        <f>IF(OR($C22="",$F22="",$G22=""),"",IF(AND($F22&lt;=Paramètres!$C$16+6,$G22&gt;=Paramètres!$C$16),1,""))</f>
        <v/>
      </c>
      <c r="P22" s="28">
        <f>IF(OR($C22="",$F22="",$G22=""),"",IF(AND($F22&lt;=Paramètres!$C$17+6,$G22&gt;=Paramètres!$C$17),1,""))</f>
        <v/>
      </c>
      <c r="Q22" s="28">
        <f>IF(OR($C22="",$F22="",$G22=""),"",IF(AND($F22&lt;=Paramètres!$C$18+6,$G22&gt;=Paramètres!$C$18),1,""))</f>
        <v/>
      </c>
      <c r="R22" s="28">
        <f>IF(OR($C22="",$F22="",$G22=""),"",IF(AND($F22&lt;=Paramètres!$C$19+6,$G22&gt;=Paramètres!$C$19),1,""))</f>
        <v/>
      </c>
      <c r="S22" s="28">
        <f>IF(OR($C22="",$F22="",$G22=""),"",IF(AND($F22&lt;=Paramètres!$C$20+6,$G22&gt;=Paramètres!$C$20),1,""))</f>
        <v/>
      </c>
      <c r="T22" s="28">
        <f>IF(OR($C22="",$F22="",$G22=""),"",IF(AND($F22&lt;=Paramètres!$C$21+6,$G22&gt;=Paramètres!$C$21),1,""))</f>
        <v/>
      </c>
      <c r="U22" s="28">
        <f>IF(OR($C22="",$F22="",$G22=""),"",IF(AND($F22&lt;=Paramètres!$C$22+6,$G22&gt;=Paramètres!$C$22),1,""))</f>
        <v/>
      </c>
      <c r="V22" s="28">
        <f>IF(OR($C22="",$F22="",$G22=""),"",IF(AND($F22&lt;=Paramètres!$C$23+6,$G22&gt;=Paramètres!$C$23),1,""))</f>
        <v/>
      </c>
      <c r="W22" s="28">
        <f>IF(OR($C22="",$F22="",$G22=""),"",IF(AND($F22&lt;=Paramètres!$C$24+6,$G22&gt;=Paramètres!$C$24),1,""))</f>
        <v/>
      </c>
      <c r="X22" s="28">
        <f>IF(OR($C22="",$F22="",$G22=""),"",IF(AND($F22&lt;=Paramètres!$C$25+6,$G22&gt;=Paramètres!$C$25),1,""))</f>
        <v/>
      </c>
      <c r="Y22" s="28">
        <f>IF(OR($C22="",$F22="",$G22=""),"",IF(AND($F22&lt;=Paramètres!$C$26+6,$G22&gt;=Paramètres!$C$26),1,""))</f>
        <v/>
      </c>
      <c r="Z22" s="28">
        <f>IF(OR($C22="",$F22="",$G22=""),"",IF(AND($F22&lt;=Paramètres!$C$27+6,$G22&gt;=Paramètres!$C$27),1,""))</f>
        <v/>
      </c>
    </row>
    <row r="23" ht="22" customHeight="1">
      <c r="B23" s="24" t="inlineStr">
        <is>
          <t>UE4</t>
        </is>
      </c>
      <c r="C23" s="25" t="inlineStr">
        <is>
          <t>Normes IFRS — immobilisations &amp; instruments</t>
        </is>
      </c>
      <c r="D23" s="24" t="inlineStr">
        <is>
          <t>Cours</t>
        </is>
      </c>
      <c r="E23" s="24" t="inlineStr">
        <is>
          <t>Haute</t>
        </is>
      </c>
      <c r="F23" s="26">
        <f>Paramètres!$C$5+(6-1)*7</f>
        <v/>
      </c>
      <c r="G23" s="26">
        <f>Paramètres!$C$5+(8)*7-1</f>
        <v/>
      </c>
      <c r="H23" s="27" t="n">
        <v>0</v>
      </c>
      <c r="I23" s="15">
        <f>IF(C23="","",IF(H23&gt;=1,"Terminé",IF(AND(G23&lt;&gt;"",G23&lt;TODAY(),H23&lt;1),"En retard",IF(H23&gt;0,"En cours","À faire"))))</f>
        <v/>
      </c>
      <c r="J23" s="15">
        <f>IF(OR(C23="",G23=""),"",G23-TODAY())</f>
        <v/>
      </c>
      <c r="K23" s="28">
        <f>IF(OR($C23="",$F23="",$G23=""),"",IF(AND($F23&lt;=Paramètres!$C$12+6,$G23&gt;=Paramètres!$C$12),1,""))</f>
        <v/>
      </c>
      <c r="L23" s="28">
        <f>IF(OR($C23="",$F23="",$G23=""),"",IF(AND($F23&lt;=Paramètres!$C$13+6,$G23&gt;=Paramètres!$C$13),1,""))</f>
        <v/>
      </c>
      <c r="M23" s="28">
        <f>IF(OR($C23="",$F23="",$G23=""),"",IF(AND($F23&lt;=Paramètres!$C$14+6,$G23&gt;=Paramètres!$C$14),1,""))</f>
        <v/>
      </c>
      <c r="N23" s="28">
        <f>IF(OR($C23="",$F23="",$G23=""),"",IF(AND($F23&lt;=Paramètres!$C$15+6,$G23&gt;=Paramètres!$C$15),1,""))</f>
        <v/>
      </c>
      <c r="O23" s="28">
        <f>IF(OR($C23="",$F23="",$G23=""),"",IF(AND($F23&lt;=Paramètres!$C$16+6,$G23&gt;=Paramètres!$C$16),1,""))</f>
        <v/>
      </c>
      <c r="P23" s="28">
        <f>IF(OR($C23="",$F23="",$G23=""),"",IF(AND($F23&lt;=Paramètres!$C$17+6,$G23&gt;=Paramètres!$C$17),1,""))</f>
        <v/>
      </c>
      <c r="Q23" s="28">
        <f>IF(OR($C23="",$F23="",$G23=""),"",IF(AND($F23&lt;=Paramètres!$C$18+6,$G23&gt;=Paramètres!$C$18),1,""))</f>
        <v/>
      </c>
      <c r="R23" s="28">
        <f>IF(OR($C23="",$F23="",$G23=""),"",IF(AND($F23&lt;=Paramètres!$C$19+6,$G23&gt;=Paramètres!$C$19),1,""))</f>
        <v/>
      </c>
      <c r="S23" s="28">
        <f>IF(OR($C23="",$F23="",$G23=""),"",IF(AND($F23&lt;=Paramètres!$C$20+6,$G23&gt;=Paramètres!$C$20),1,""))</f>
        <v/>
      </c>
      <c r="T23" s="28">
        <f>IF(OR($C23="",$F23="",$G23=""),"",IF(AND($F23&lt;=Paramètres!$C$21+6,$G23&gt;=Paramètres!$C$21),1,""))</f>
        <v/>
      </c>
      <c r="U23" s="28">
        <f>IF(OR($C23="",$F23="",$G23=""),"",IF(AND($F23&lt;=Paramètres!$C$22+6,$G23&gt;=Paramètres!$C$22),1,""))</f>
        <v/>
      </c>
      <c r="V23" s="28">
        <f>IF(OR($C23="",$F23="",$G23=""),"",IF(AND($F23&lt;=Paramètres!$C$23+6,$G23&gt;=Paramètres!$C$23),1,""))</f>
        <v/>
      </c>
      <c r="W23" s="28">
        <f>IF(OR($C23="",$F23="",$G23=""),"",IF(AND($F23&lt;=Paramètres!$C$24+6,$G23&gt;=Paramètres!$C$24),1,""))</f>
        <v/>
      </c>
      <c r="X23" s="28">
        <f>IF(OR($C23="",$F23="",$G23=""),"",IF(AND($F23&lt;=Paramètres!$C$25+6,$G23&gt;=Paramètres!$C$25),1,""))</f>
        <v/>
      </c>
      <c r="Y23" s="28">
        <f>IF(OR($C23="",$F23="",$G23=""),"",IF(AND($F23&lt;=Paramètres!$C$26+6,$G23&gt;=Paramètres!$C$26),1,""))</f>
        <v/>
      </c>
      <c r="Z23" s="28">
        <f>IF(OR($C23="",$F23="",$G23=""),"",IF(AND($F23&lt;=Paramètres!$C$27+6,$G23&gt;=Paramètres!$C$27),1,""))</f>
        <v/>
      </c>
    </row>
    <row r="24" ht="22" customHeight="1">
      <c r="B24" s="24" t="inlineStr">
        <is>
          <t>UE4</t>
        </is>
      </c>
      <c r="C24" s="25" t="inlineStr">
        <is>
          <t>Audit — démarche &amp; risques</t>
        </is>
      </c>
      <c r="D24" s="24" t="inlineStr">
        <is>
          <t>Cours</t>
        </is>
      </c>
      <c r="E24" s="24" t="inlineStr">
        <is>
          <t>Moyenne</t>
        </is>
      </c>
      <c r="F24" s="26">
        <f>Paramètres!$C$5+(9-1)*7</f>
        <v/>
      </c>
      <c r="G24" s="26">
        <f>Paramètres!$C$5+(10)*7-1</f>
        <v/>
      </c>
      <c r="H24" s="27" t="n">
        <v>0</v>
      </c>
      <c r="I24" s="15">
        <f>IF(C24="","",IF(H24&gt;=1,"Terminé",IF(AND(G24&lt;&gt;"",G24&lt;TODAY(),H24&lt;1),"En retard",IF(H24&gt;0,"En cours","À faire"))))</f>
        <v/>
      </c>
      <c r="J24" s="15">
        <f>IF(OR(C24="",G24=""),"",G24-TODAY())</f>
        <v/>
      </c>
      <c r="K24" s="28">
        <f>IF(OR($C24="",$F24="",$G24=""),"",IF(AND($F24&lt;=Paramètres!$C$12+6,$G24&gt;=Paramètres!$C$12),1,""))</f>
        <v/>
      </c>
      <c r="L24" s="28">
        <f>IF(OR($C24="",$F24="",$G24=""),"",IF(AND($F24&lt;=Paramètres!$C$13+6,$G24&gt;=Paramètres!$C$13),1,""))</f>
        <v/>
      </c>
      <c r="M24" s="28">
        <f>IF(OR($C24="",$F24="",$G24=""),"",IF(AND($F24&lt;=Paramètres!$C$14+6,$G24&gt;=Paramètres!$C$14),1,""))</f>
        <v/>
      </c>
      <c r="N24" s="28">
        <f>IF(OR($C24="",$F24="",$G24=""),"",IF(AND($F24&lt;=Paramètres!$C$15+6,$G24&gt;=Paramètres!$C$15),1,""))</f>
        <v/>
      </c>
      <c r="O24" s="28">
        <f>IF(OR($C24="",$F24="",$G24=""),"",IF(AND($F24&lt;=Paramètres!$C$16+6,$G24&gt;=Paramètres!$C$16),1,""))</f>
        <v/>
      </c>
      <c r="P24" s="28">
        <f>IF(OR($C24="",$F24="",$G24=""),"",IF(AND($F24&lt;=Paramètres!$C$17+6,$G24&gt;=Paramètres!$C$17),1,""))</f>
        <v/>
      </c>
      <c r="Q24" s="28">
        <f>IF(OR($C24="",$F24="",$G24=""),"",IF(AND($F24&lt;=Paramètres!$C$18+6,$G24&gt;=Paramètres!$C$18),1,""))</f>
        <v/>
      </c>
      <c r="R24" s="28">
        <f>IF(OR($C24="",$F24="",$G24=""),"",IF(AND($F24&lt;=Paramètres!$C$19+6,$G24&gt;=Paramètres!$C$19),1,""))</f>
        <v/>
      </c>
      <c r="S24" s="28">
        <f>IF(OR($C24="",$F24="",$G24=""),"",IF(AND($F24&lt;=Paramètres!$C$20+6,$G24&gt;=Paramètres!$C$20),1,""))</f>
        <v/>
      </c>
      <c r="T24" s="28">
        <f>IF(OR($C24="",$F24="",$G24=""),"",IF(AND($F24&lt;=Paramètres!$C$21+6,$G24&gt;=Paramètres!$C$21),1,""))</f>
        <v/>
      </c>
      <c r="U24" s="28">
        <f>IF(OR($C24="",$F24="",$G24=""),"",IF(AND($F24&lt;=Paramètres!$C$22+6,$G24&gt;=Paramètres!$C$22),1,""))</f>
        <v/>
      </c>
      <c r="V24" s="28">
        <f>IF(OR($C24="",$F24="",$G24=""),"",IF(AND($F24&lt;=Paramètres!$C$23+6,$G24&gt;=Paramètres!$C$23),1,""))</f>
        <v/>
      </c>
      <c r="W24" s="28">
        <f>IF(OR($C24="",$F24="",$G24=""),"",IF(AND($F24&lt;=Paramètres!$C$24+6,$G24&gt;=Paramètres!$C$24),1,""))</f>
        <v/>
      </c>
      <c r="X24" s="28">
        <f>IF(OR($C24="",$F24="",$G24=""),"",IF(AND($F24&lt;=Paramètres!$C$25+6,$G24&gt;=Paramètres!$C$25),1,""))</f>
        <v/>
      </c>
      <c r="Y24" s="28">
        <f>IF(OR($C24="",$F24="",$G24=""),"",IF(AND($F24&lt;=Paramètres!$C$26+6,$G24&gt;=Paramètres!$C$26),1,""))</f>
        <v/>
      </c>
      <c r="Z24" s="28">
        <f>IF(OR($C24="",$F24="",$G24=""),"",IF(AND($F24&lt;=Paramètres!$C$27+6,$G24&gt;=Paramètres!$C$27),1,""))</f>
        <v/>
      </c>
    </row>
    <row r="25" ht="22" customHeight="1">
      <c r="B25" s="24" t="inlineStr">
        <is>
          <t>UE4</t>
        </is>
      </c>
      <c r="C25" s="25" t="inlineStr">
        <is>
          <t>Annales UE4 — sujets blancs</t>
        </is>
      </c>
      <c r="D25" s="24" t="inlineStr">
        <is>
          <t>Annales</t>
        </is>
      </c>
      <c r="E25" s="24" t="inlineStr">
        <is>
          <t>Haute</t>
        </is>
      </c>
      <c r="F25" s="26">
        <f>Paramètres!$C$5+(14-1)*7</f>
        <v/>
      </c>
      <c r="G25" s="26">
        <f>Paramètres!$C$5+(15)*7-1</f>
        <v/>
      </c>
      <c r="H25" s="27" t="n">
        <v>0</v>
      </c>
      <c r="I25" s="15">
        <f>IF(C25="","",IF(H25&gt;=1,"Terminé",IF(AND(G25&lt;&gt;"",G25&lt;TODAY(),H25&lt;1),"En retard",IF(H25&gt;0,"En cours","À faire"))))</f>
        <v/>
      </c>
      <c r="J25" s="15">
        <f>IF(OR(C25="",G25=""),"",G25-TODAY())</f>
        <v/>
      </c>
      <c r="K25" s="28">
        <f>IF(OR($C25="",$F25="",$G25=""),"",IF(AND($F25&lt;=Paramètres!$C$12+6,$G25&gt;=Paramètres!$C$12),1,""))</f>
        <v/>
      </c>
      <c r="L25" s="28">
        <f>IF(OR($C25="",$F25="",$G25=""),"",IF(AND($F25&lt;=Paramètres!$C$13+6,$G25&gt;=Paramètres!$C$13),1,""))</f>
        <v/>
      </c>
      <c r="M25" s="28">
        <f>IF(OR($C25="",$F25="",$G25=""),"",IF(AND($F25&lt;=Paramètres!$C$14+6,$G25&gt;=Paramètres!$C$14),1,""))</f>
        <v/>
      </c>
      <c r="N25" s="28">
        <f>IF(OR($C25="",$F25="",$G25=""),"",IF(AND($F25&lt;=Paramètres!$C$15+6,$G25&gt;=Paramètres!$C$15),1,""))</f>
        <v/>
      </c>
      <c r="O25" s="28">
        <f>IF(OR($C25="",$F25="",$G25=""),"",IF(AND($F25&lt;=Paramètres!$C$16+6,$G25&gt;=Paramètres!$C$16),1,""))</f>
        <v/>
      </c>
      <c r="P25" s="28">
        <f>IF(OR($C25="",$F25="",$G25=""),"",IF(AND($F25&lt;=Paramètres!$C$17+6,$G25&gt;=Paramètres!$C$17),1,""))</f>
        <v/>
      </c>
      <c r="Q25" s="28">
        <f>IF(OR($C25="",$F25="",$G25=""),"",IF(AND($F25&lt;=Paramètres!$C$18+6,$G25&gt;=Paramètres!$C$18),1,""))</f>
        <v/>
      </c>
      <c r="R25" s="28">
        <f>IF(OR($C25="",$F25="",$G25=""),"",IF(AND($F25&lt;=Paramètres!$C$19+6,$G25&gt;=Paramètres!$C$19),1,""))</f>
        <v/>
      </c>
      <c r="S25" s="28">
        <f>IF(OR($C25="",$F25="",$G25=""),"",IF(AND($F25&lt;=Paramètres!$C$20+6,$G25&gt;=Paramètres!$C$20),1,""))</f>
        <v/>
      </c>
      <c r="T25" s="28">
        <f>IF(OR($C25="",$F25="",$G25=""),"",IF(AND($F25&lt;=Paramètres!$C$21+6,$G25&gt;=Paramètres!$C$21),1,""))</f>
        <v/>
      </c>
      <c r="U25" s="28">
        <f>IF(OR($C25="",$F25="",$G25=""),"",IF(AND($F25&lt;=Paramètres!$C$22+6,$G25&gt;=Paramètres!$C$22),1,""))</f>
        <v/>
      </c>
      <c r="V25" s="28">
        <f>IF(OR($C25="",$F25="",$G25=""),"",IF(AND($F25&lt;=Paramètres!$C$23+6,$G25&gt;=Paramètres!$C$23),1,""))</f>
        <v/>
      </c>
      <c r="W25" s="28">
        <f>IF(OR($C25="",$F25="",$G25=""),"",IF(AND($F25&lt;=Paramètres!$C$24+6,$G25&gt;=Paramètres!$C$24),1,""))</f>
        <v/>
      </c>
      <c r="X25" s="28">
        <f>IF(OR($C25="",$F25="",$G25=""),"",IF(AND($F25&lt;=Paramètres!$C$25+6,$G25&gt;=Paramètres!$C$25),1,""))</f>
        <v/>
      </c>
      <c r="Y25" s="28">
        <f>IF(OR($C25="",$F25="",$G25=""),"",IF(AND($F25&lt;=Paramètres!$C$26+6,$G25&gt;=Paramètres!$C$26),1,""))</f>
        <v/>
      </c>
      <c r="Z25" s="28">
        <f>IF(OR($C25="",$F25="",$G25=""),"",IF(AND($F25&lt;=Paramètres!$C$27+6,$G25&gt;=Paramètres!$C$27),1,""))</f>
        <v/>
      </c>
    </row>
    <row r="26" ht="22" customHeight="1">
      <c r="B26" s="24" t="inlineStr">
        <is>
          <t>UE5</t>
        </is>
      </c>
      <c r="C26" s="25" t="inlineStr">
        <is>
          <t>Systèmes d'information &amp; gouvernance SI</t>
        </is>
      </c>
      <c r="D26" s="24" t="inlineStr">
        <is>
          <t>Cours</t>
        </is>
      </c>
      <c r="E26" s="24" t="inlineStr">
        <is>
          <t>Basse</t>
        </is>
      </c>
      <c r="F26" s="26">
        <f>Paramètres!$C$5+(6-1)*7</f>
        <v/>
      </c>
      <c r="G26" s="26">
        <f>Paramètres!$C$5+(7)*7-1</f>
        <v/>
      </c>
      <c r="H26" s="27" t="n">
        <v>0</v>
      </c>
      <c r="I26" s="15">
        <f>IF(C26="","",IF(H26&gt;=1,"Terminé",IF(AND(G26&lt;&gt;"",G26&lt;TODAY(),H26&lt;1),"En retard",IF(H26&gt;0,"En cours","À faire"))))</f>
        <v/>
      </c>
      <c r="J26" s="15">
        <f>IF(OR(C26="",G26=""),"",G26-TODAY())</f>
        <v/>
      </c>
      <c r="K26" s="28">
        <f>IF(OR($C26="",$F26="",$G26=""),"",IF(AND($F26&lt;=Paramètres!$C$12+6,$G26&gt;=Paramètres!$C$12),1,""))</f>
        <v/>
      </c>
      <c r="L26" s="28">
        <f>IF(OR($C26="",$F26="",$G26=""),"",IF(AND($F26&lt;=Paramètres!$C$13+6,$G26&gt;=Paramètres!$C$13),1,""))</f>
        <v/>
      </c>
      <c r="M26" s="28">
        <f>IF(OR($C26="",$F26="",$G26=""),"",IF(AND($F26&lt;=Paramètres!$C$14+6,$G26&gt;=Paramètres!$C$14),1,""))</f>
        <v/>
      </c>
      <c r="N26" s="28">
        <f>IF(OR($C26="",$F26="",$G26=""),"",IF(AND($F26&lt;=Paramètres!$C$15+6,$G26&gt;=Paramètres!$C$15),1,""))</f>
        <v/>
      </c>
      <c r="O26" s="28">
        <f>IF(OR($C26="",$F26="",$G26=""),"",IF(AND($F26&lt;=Paramètres!$C$16+6,$G26&gt;=Paramètres!$C$16),1,""))</f>
        <v/>
      </c>
      <c r="P26" s="28">
        <f>IF(OR($C26="",$F26="",$G26=""),"",IF(AND($F26&lt;=Paramètres!$C$17+6,$G26&gt;=Paramètres!$C$17),1,""))</f>
        <v/>
      </c>
      <c r="Q26" s="28">
        <f>IF(OR($C26="",$F26="",$G26=""),"",IF(AND($F26&lt;=Paramètres!$C$18+6,$G26&gt;=Paramètres!$C$18),1,""))</f>
        <v/>
      </c>
      <c r="R26" s="28">
        <f>IF(OR($C26="",$F26="",$G26=""),"",IF(AND($F26&lt;=Paramètres!$C$19+6,$G26&gt;=Paramètres!$C$19),1,""))</f>
        <v/>
      </c>
      <c r="S26" s="28">
        <f>IF(OR($C26="",$F26="",$G26=""),"",IF(AND($F26&lt;=Paramètres!$C$20+6,$G26&gt;=Paramètres!$C$20),1,""))</f>
        <v/>
      </c>
      <c r="T26" s="28">
        <f>IF(OR($C26="",$F26="",$G26=""),"",IF(AND($F26&lt;=Paramètres!$C$21+6,$G26&gt;=Paramètres!$C$21),1,""))</f>
        <v/>
      </c>
      <c r="U26" s="28">
        <f>IF(OR($C26="",$F26="",$G26=""),"",IF(AND($F26&lt;=Paramètres!$C$22+6,$G26&gt;=Paramètres!$C$22),1,""))</f>
        <v/>
      </c>
      <c r="V26" s="28">
        <f>IF(OR($C26="",$F26="",$G26=""),"",IF(AND($F26&lt;=Paramètres!$C$23+6,$G26&gt;=Paramètres!$C$23),1,""))</f>
        <v/>
      </c>
      <c r="W26" s="28">
        <f>IF(OR($C26="",$F26="",$G26=""),"",IF(AND($F26&lt;=Paramètres!$C$24+6,$G26&gt;=Paramètres!$C$24),1,""))</f>
        <v/>
      </c>
      <c r="X26" s="28">
        <f>IF(OR($C26="",$F26="",$G26=""),"",IF(AND($F26&lt;=Paramètres!$C$25+6,$G26&gt;=Paramètres!$C$25),1,""))</f>
        <v/>
      </c>
      <c r="Y26" s="28">
        <f>IF(OR($C26="",$F26="",$G26=""),"",IF(AND($F26&lt;=Paramètres!$C$26+6,$G26&gt;=Paramètres!$C$26),1,""))</f>
        <v/>
      </c>
      <c r="Z26" s="28">
        <f>IF(OR($C26="",$F26="",$G26=""),"",IF(AND($F26&lt;=Paramètres!$C$27+6,$G26&gt;=Paramètres!$C$27),1,""))</f>
        <v/>
      </c>
    </row>
    <row r="27" ht="22" customHeight="1">
      <c r="B27" s="24" t="inlineStr">
        <is>
          <t>UE5</t>
        </is>
      </c>
      <c r="C27" s="25" t="inlineStr">
        <is>
          <t>Sécurité, ERP &amp; transformation digitale</t>
        </is>
      </c>
      <c r="D27" s="24" t="inlineStr">
        <is>
          <t>Fiches</t>
        </is>
      </c>
      <c r="E27" s="24" t="inlineStr">
        <is>
          <t>Basse</t>
        </is>
      </c>
      <c r="F27" s="26">
        <f>Paramètres!$C$5+(10-1)*7</f>
        <v/>
      </c>
      <c r="G27" s="26">
        <f>Paramètres!$C$5+(11)*7-1</f>
        <v/>
      </c>
      <c r="H27" s="27" t="n">
        <v>0</v>
      </c>
      <c r="I27" s="15">
        <f>IF(C27="","",IF(H27&gt;=1,"Terminé",IF(AND(G27&lt;&gt;"",G27&lt;TODAY(),H27&lt;1),"En retard",IF(H27&gt;0,"En cours","À faire"))))</f>
        <v/>
      </c>
      <c r="J27" s="15">
        <f>IF(OR(C27="",G27=""),"",G27-TODAY())</f>
        <v/>
      </c>
      <c r="K27" s="28">
        <f>IF(OR($C27="",$F27="",$G27=""),"",IF(AND($F27&lt;=Paramètres!$C$12+6,$G27&gt;=Paramètres!$C$12),1,""))</f>
        <v/>
      </c>
      <c r="L27" s="28">
        <f>IF(OR($C27="",$F27="",$G27=""),"",IF(AND($F27&lt;=Paramètres!$C$13+6,$G27&gt;=Paramètres!$C$13),1,""))</f>
        <v/>
      </c>
      <c r="M27" s="28">
        <f>IF(OR($C27="",$F27="",$G27=""),"",IF(AND($F27&lt;=Paramètres!$C$14+6,$G27&gt;=Paramètres!$C$14),1,""))</f>
        <v/>
      </c>
      <c r="N27" s="28">
        <f>IF(OR($C27="",$F27="",$G27=""),"",IF(AND($F27&lt;=Paramètres!$C$15+6,$G27&gt;=Paramètres!$C$15),1,""))</f>
        <v/>
      </c>
      <c r="O27" s="28">
        <f>IF(OR($C27="",$F27="",$G27=""),"",IF(AND($F27&lt;=Paramètres!$C$16+6,$G27&gt;=Paramètres!$C$16),1,""))</f>
        <v/>
      </c>
      <c r="P27" s="28">
        <f>IF(OR($C27="",$F27="",$G27=""),"",IF(AND($F27&lt;=Paramètres!$C$17+6,$G27&gt;=Paramètres!$C$17),1,""))</f>
        <v/>
      </c>
      <c r="Q27" s="28">
        <f>IF(OR($C27="",$F27="",$G27=""),"",IF(AND($F27&lt;=Paramètres!$C$18+6,$G27&gt;=Paramètres!$C$18),1,""))</f>
        <v/>
      </c>
      <c r="R27" s="28">
        <f>IF(OR($C27="",$F27="",$G27=""),"",IF(AND($F27&lt;=Paramètres!$C$19+6,$G27&gt;=Paramètres!$C$19),1,""))</f>
        <v/>
      </c>
      <c r="S27" s="28">
        <f>IF(OR($C27="",$F27="",$G27=""),"",IF(AND($F27&lt;=Paramètres!$C$20+6,$G27&gt;=Paramètres!$C$20),1,""))</f>
        <v/>
      </c>
      <c r="T27" s="28">
        <f>IF(OR($C27="",$F27="",$G27=""),"",IF(AND($F27&lt;=Paramètres!$C$21+6,$G27&gt;=Paramètres!$C$21),1,""))</f>
        <v/>
      </c>
      <c r="U27" s="28">
        <f>IF(OR($C27="",$F27="",$G27=""),"",IF(AND($F27&lt;=Paramètres!$C$22+6,$G27&gt;=Paramètres!$C$22),1,""))</f>
        <v/>
      </c>
      <c r="V27" s="28">
        <f>IF(OR($C27="",$F27="",$G27=""),"",IF(AND($F27&lt;=Paramètres!$C$23+6,$G27&gt;=Paramètres!$C$23),1,""))</f>
        <v/>
      </c>
      <c r="W27" s="28">
        <f>IF(OR($C27="",$F27="",$G27=""),"",IF(AND($F27&lt;=Paramètres!$C$24+6,$G27&gt;=Paramètres!$C$24),1,""))</f>
        <v/>
      </c>
      <c r="X27" s="28">
        <f>IF(OR($C27="",$F27="",$G27=""),"",IF(AND($F27&lt;=Paramètres!$C$25+6,$G27&gt;=Paramètres!$C$25),1,""))</f>
        <v/>
      </c>
      <c r="Y27" s="28">
        <f>IF(OR($C27="",$F27="",$G27=""),"",IF(AND($F27&lt;=Paramètres!$C$26+6,$G27&gt;=Paramètres!$C$26),1,""))</f>
        <v/>
      </c>
      <c r="Z27" s="28">
        <f>IF(OR($C27="",$F27="",$G27=""),"",IF(AND($F27&lt;=Paramètres!$C$27+6,$G27&gt;=Paramètres!$C$27),1,""))</f>
        <v/>
      </c>
    </row>
    <row r="28" ht="22" customHeight="1">
      <c r="B28" s="24" t="inlineStr">
        <is>
          <t>UE6</t>
        </is>
      </c>
      <c r="C28" s="25" t="inlineStr">
        <is>
          <t>Vocabulaire finance &amp; audit</t>
        </is>
      </c>
      <c r="D28" s="24" t="inlineStr">
        <is>
          <t>Fiches</t>
        </is>
      </c>
      <c r="E28" s="24" t="inlineStr">
        <is>
          <t>Moyenne</t>
        </is>
      </c>
      <c r="F28" s="26">
        <f>Paramètres!$C$5+(2-1)*7</f>
        <v/>
      </c>
      <c r="G28" s="26">
        <f>Paramètres!$C$5+(12)*7-1</f>
        <v/>
      </c>
      <c r="H28" s="27" t="n">
        <v>0</v>
      </c>
      <c r="I28" s="15">
        <f>IF(C28="","",IF(H28&gt;=1,"Terminé",IF(AND(G28&lt;&gt;"",G28&lt;TODAY(),H28&lt;1),"En retard",IF(H28&gt;0,"En cours","À faire"))))</f>
        <v/>
      </c>
      <c r="J28" s="15">
        <f>IF(OR(C28="",G28=""),"",G28-TODAY())</f>
        <v/>
      </c>
      <c r="K28" s="28">
        <f>IF(OR($C28="",$F28="",$G28=""),"",IF(AND($F28&lt;=Paramètres!$C$12+6,$G28&gt;=Paramètres!$C$12),1,""))</f>
        <v/>
      </c>
      <c r="L28" s="28">
        <f>IF(OR($C28="",$F28="",$G28=""),"",IF(AND($F28&lt;=Paramètres!$C$13+6,$G28&gt;=Paramètres!$C$13),1,""))</f>
        <v/>
      </c>
      <c r="M28" s="28">
        <f>IF(OR($C28="",$F28="",$G28=""),"",IF(AND($F28&lt;=Paramètres!$C$14+6,$G28&gt;=Paramètres!$C$14),1,""))</f>
        <v/>
      </c>
      <c r="N28" s="28">
        <f>IF(OR($C28="",$F28="",$G28=""),"",IF(AND($F28&lt;=Paramètres!$C$15+6,$G28&gt;=Paramètres!$C$15),1,""))</f>
        <v/>
      </c>
      <c r="O28" s="28">
        <f>IF(OR($C28="",$F28="",$G28=""),"",IF(AND($F28&lt;=Paramètres!$C$16+6,$G28&gt;=Paramètres!$C$16),1,""))</f>
        <v/>
      </c>
      <c r="P28" s="28">
        <f>IF(OR($C28="",$F28="",$G28=""),"",IF(AND($F28&lt;=Paramètres!$C$17+6,$G28&gt;=Paramètres!$C$17),1,""))</f>
        <v/>
      </c>
      <c r="Q28" s="28">
        <f>IF(OR($C28="",$F28="",$G28=""),"",IF(AND($F28&lt;=Paramètres!$C$18+6,$G28&gt;=Paramètres!$C$18),1,""))</f>
        <v/>
      </c>
      <c r="R28" s="28">
        <f>IF(OR($C28="",$F28="",$G28=""),"",IF(AND($F28&lt;=Paramètres!$C$19+6,$G28&gt;=Paramètres!$C$19),1,""))</f>
        <v/>
      </c>
      <c r="S28" s="28">
        <f>IF(OR($C28="",$F28="",$G28=""),"",IF(AND($F28&lt;=Paramètres!$C$20+6,$G28&gt;=Paramètres!$C$20),1,""))</f>
        <v/>
      </c>
      <c r="T28" s="28">
        <f>IF(OR($C28="",$F28="",$G28=""),"",IF(AND($F28&lt;=Paramètres!$C$21+6,$G28&gt;=Paramètres!$C$21),1,""))</f>
        <v/>
      </c>
      <c r="U28" s="28">
        <f>IF(OR($C28="",$F28="",$G28=""),"",IF(AND($F28&lt;=Paramètres!$C$22+6,$G28&gt;=Paramètres!$C$22),1,""))</f>
        <v/>
      </c>
      <c r="V28" s="28">
        <f>IF(OR($C28="",$F28="",$G28=""),"",IF(AND($F28&lt;=Paramètres!$C$23+6,$G28&gt;=Paramètres!$C$23),1,""))</f>
        <v/>
      </c>
      <c r="W28" s="28">
        <f>IF(OR($C28="",$F28="",$G28=""),"",IF(AND($F28&lt;=Paramètres!$C$24+6,$G28&gt;=Paramètres!$C$24),1,""))</f>
        <v/>
      </c>
      <c r="X28" s="28">
        <f>IF(OR($C28="",$F28="",$G28=""),"",IF(AND($F28&lt;=Paramètres!$C$25+6,$G28&gt;=Paramètres!$C$25),1,""))</f>
        <v/>
      </c>
      <c r="Y28" s="28">
        <f>IF(OR($C28="",$F28="",$G28=""),"",IF(AND($F28&lt;=Paramètres!$C$26+6,$G28&gt;=Paramètres!$C$26),1,""))</f>
        <v/>
      </c>
      <c r="Z28" s="28">
        <f>IF(OR($C28="",$F28="",$G28=""),"",IF(AND($F28&lt;=Paramètres!$C$27+6,$G28&gt;=Paramètres!$C$27),1,""))</f>
        <v/>
      </c>
    </row>
    <row r="29" ht="22" customHeight="1">
      <c r="B29" s="24" t="inlineStr">
        <is>
          <t>UE6</t>
        </is>
      </c>
      <c r="C29" s="25" t="inlineStr">
        <is>
          <t>Entraînement compréhension écrite</t>
        </is>
      </c>
      <c r="D29" s="24" t="inlineStr">
        <is>
          <t>Exercices</t>
        </is>
      </c>
      <c r="E29" s="24" t="inlineStr">
        <is>
          <t>Moyenne</t>
        </is>
      </c>
      <c r="F29" s="26">
        <f>Paramètres!$C$5+(3-1)*7</f>
        <v/>
      </c>
      <c r="G29" s="26">
        <f>Paramètres!$C$5+(13)*7-1</f>
        <v/>
      </c>
      <c r="H29" s="27" t="n">
        <v>0</v>
      </c>
      <c r="I29" s="15">
        <f>IF(C29="","",IF(H29&gt;=1,"Terminé",IF(AND(G29&lt;&gt;"",G29&lt;TODAY(),H29&lt;1),"En retard",IF(H29&gt;0,"En cours","À faire"))))</f>
        <v/>
      </c>
      <c r="J29" s="15">
        <f>IF(OR(C29="",G29=""),"",G29-TODAY())</f>
        <v/>
      </c>
      <c r="K29" s="28">
        <f>IF(OR($C29="",$F29="",$G29=""),"",IF(AND($F29&lt;=Paramètres!$C$12+6,$G29&gt;=Paramètres!$C$12),1,""))</f>
        <v/>
      </c>
      <c r="L29" s="28">
        <f>IF(OR($C29="",$F29="",$G29=""),"",IF(AND($F29&lt;=Paramètres!$C$13+6,$G29&gt;=Paramètres!$C$13),1,""))</f>
        <v/>
      </c>
      <c r="M29" s="28">
        <f>IF(OR($C29="",$F29="",$G29=""),"",IF(AND($F29&lt;=Paramètres!$C$14+6,$G29&gt;=Paramètres!$C$14),1,""))</f>
        <v/>
      </c>
      <c r="N29" s="28">
        <f>IF(OR($C29="",$F29="",$G29=""),"",IF(AND($F29&lt;=Paramètres!$C$15+6,$G29&gt;=Paramètres!$C$15),1,""))</f>
        <v/>
      </c>
      <c r="O29" s="28">
        <f>IF(OR($C29="",$F29="",$G29=""),"",IF(AND($F29&lt;=Paramètres!$C$16+6,$G29&gt;=Paramètres!$C$16),1,""))</f>
        <v/>
      </c>
      <c r="P29" s="28">
        <f>IF(OR($C29="",$F29="",$G29=""),"",IF(AND($F29&lt;=Paramètres!$C$17+6,$G29&gt;=Paramètres!$C$17),1,""))</f>
        <v/>
      </c>
      <c r="Q29" s="28">
        <f>IF(OR($C29="",$F29="",$G29=""),"",IF(AND($F29&lt;=Paramètres!$C$18+6,$G29&gt;=Paramètres!$C$18),1,""))</f>
        <v/>
      </c>
      <c r="R29" s="28">
        <f>IF(OR($C29="",$F29="",$G29=""),"",IF(AND($F29&lt;=Paramètres!$C$19+6,$G29&gt;=Paramètres!$C$19),1,""))</f>
        <v/>
      </c>
      <c r="S29" s="28">
        <f>IF(OR($C29="",$F29="",$G29=""),"",IF(AND($F29&lt;=Paramètres!$C$20+6,$G29&gt;=Paramètres!$C$20),1,""))</f>
        <v/>
      </c>
      <c r="T29" s="28">
        <f>IF(OR($C29="",$F29="",$G29=""),"",IF(AND($F29&lt;=Paramètres!$C$21+6,$G29&gt;=Paramètres!$C$21),1,""))</f>
        <v/>
      </c>
      <c r="U29" s="28">
        <f>IF(OR($C29="",$F29="",$G29=""),"",IF(AND($F29&lt;=Paramètres!$C$22+6,$G29&gt;=Paramètres!$C$22),1,""))</f>
        <v/>
      </c>
      <c r="V29" s="28">
        <f>IF(OR($C29="",$F29="",$G29=""),"",IF(AND($F29&lt;=Paramètres!$C$23+6,$G29&gt;=Paramètres!$C$23),1,""))</f>
        <v/>
      </c>
      <c r="W29" s="28">
        <f>IF(OR($C29="",$F29="",$G29=""),"",IF(AND($F29&lt;=Paramètres!$C$24+6,$G29&gt;=Paramètres!$C$24),1,""))</f>
        <v/>
      </c>
      <c r="X29" s="28">
        <f>IF(OR($C29="",$F29="",$G29=""),"",IF(AND($F29&lt;=Paramètres!$C$25+6,$G29&gt;=Paramètres!$C$25),1,""))</f>
        <v/>
      </c>
      <c r="Y29" s="28">
        <f>IF(OR($C29="",$F29="",$G29=""),"",IF(AND($F29&lt;=Paramètres!$C$26+6,$G29&gt;=Paramètres!$C$26),1,""))</f>
        <v/>
      </c>
      <c r="Z29" s="28">
        <f>IF(OR($C29="",$F29="",$G29=""),"",IF(AND($F29&lt;=Paramètres!$C$27+6,$G29&gt;=Paramètres!$C$27),1,""))</f>
        <v/>
      </c>
    </row>
    <row r="30" ht="22" customHeight="1">
      <c r="B30" s="24" t="inlineStr">
        <is>
          <t>TRANSVERSE</t>
        </is>
      </c>
      <c r="C30" s="25" t="inlineStr">
        <is>
          <t>Planning blancs complets (2 UE / week-end)</t>
        </is>
      </c>
      <c r="D30" s="24" t="inlineStr">
        <is>
          <t>Révision globale</t>
        </is>
      </c>
      <c r="E30" s="24" t="inlineStr">
        <is>
          <t>Haute</t>
        </is>
      </c>
      <c r="F30" s="26">
        <f>Paramètres!$C$5+(12-1)*7</f>
        <v/>
      </c>
      <c r="G30" s="26">
        <f>Paramètres!$C$5+(15)*7-1</f>
        <v/>
      </c>
      <c r="H30" s="27" t="n">
        <v>0</v>
      </c>
      <c r="I30" s="15">
        <f>IF(C30="","",IF(H30&gt;=1,"Terminé",IF(AND(G30&lt;&gt;"",G30&lt;TODAY(),H30&lt;1),"En retard",IF(H30&gt;0,"En cours","À faire"))))</f>
        <v/>
      </c>
      <c r="J30" s="15">
        <f>IF(OR(C30="",G30=""),"",G30-TODAY())</f>
        <v/>
      </c>
      <c r="K30" s="28">
        <f>IF(OR($C30="",$F30="",$G30=""),"",IF(AND($F30&lt;=Paramètres!$C$12+6,$G30&gt;=Paramètres!$C$12),1,""))</f>
        <v/>
      </c>
      <c r="L30" s="28">
        <f>IF(OR($C30="",$F30="",$G30=""),"",IF(AND($F30&lt;=Paramètres!$C$13+6,$G30&gt;=Paramètres!$C$13),1,""))</f>
        <v/>
      </c>
      <c r="M30" s="28">
        <f>IF(OR($C30="",$F30="",$G30=""),"",IF(AND($F30&lt;=Paramètres!$C$14+6,$G30&gt;=Paramètres!$C$14),1,""))</f>
        <v/>
      </c>
      <c r="N30" s="28">
        <f>IF(OR($C30="",$F30="",$G30=""),"",IF(AND($F30&lt;=Paramètres!$C$15+6,$G30&gt;=Paramètres!$C$15),1,""))</f>
        <v/>
      </c>
      <c r="O30" s="28">
        <f>IF(OR($C30="",$F30="",$G30=""),"",IF(AND($F30&lt;=Paramètres!$C$16+6,$G30&gt;=Paramètres!$C$16),1,""))</f>
        <v/>
      </c>
      <c r="P30" s="28">
        <f>IF(OR($C30="",$F30="",$G30=""),"",IF(AND($F30&lt;=Paramètres!$C$17+6,$G30&gt;=Paramètres!$C$17),1,""))</f>
        <v/>
      </c>
      <c r="Q30" s="28">
        <f>IF(OR($C30="",$F30="",$G30=""),"",IF(AND($F30&lt;=Paramètres!$C$18+6,$G30&gt;=Paramètres!$C$18),1,""))</f>
        <v/>
      </c>
      <c r="R30" s="28">
        <f>IF(OR($C30="",$F30="",$G30=""),"",IF(AND($F30&lt;=Paramètres!$C$19+6,$G30&gt;=Paramètres!$C$19),1,""))</f>
        <v/>
      </c>
      <c r="S30" s="28">
        <f>IF(OR($C30="",$F30="",$G30=""),"",IF(AND($F30&lt;=Paramètres!$C$20+6,$G30&gt;=Paramètres!$C$20),1,""))</f>
        <v/>
      </c>
      <c r="T30" s="28">
        <f>IF(OR($C30="",$F30="",$G30=""),"",IF(AND($F30&lt;=Paramètres!$C$21+6,$G30&gt;=Paramètres!$C$21),1,""))</f>
        <v/>
      </c>
      <c r="U30" s="28">
        <f>IF(OR($C30="",$F30="",$G30=""),"",IF(AND($F30&lt;=Paramètres!$C$22+6,$G30&gt;=Paramètres!$C$22),1,""))</f>
        <v/>
      </c>
      <c r="V30" s="28">
        <f>IF(OR($C30="",$F30="",$G30=""),"",IF(AND($F30&lt;=Paramètres!$C$23+6,$G30&gt;=Paramètres!$C$23),1,""))</f>
        <v/>
      </c>
      <c r="W30" s="28">
        <f>IF(OR($C30="",$F30="",$G30=""),"",IF(AND($F30&lt;=Paramètres!$C$24+6,$G30&gt;=Paramètres!$C$24),1,""))</f>
        <v/>
      </c>
      <c r="X30" s="28">
        <f>IF(OR($C30="",$F30="",$G30=""),"",IF(AND($F30&lt;=Paramètres!$C$25+6,$G30&gt;=Paramètres!$C$25),1,""))</f>
        <v/>
      </c>
      <c r="Y30" s="28">
        <f>IF(OR($C30="",$F30="",$G30=""),"",IF(AND($F30&lt;=Paramètres!$C$26+6,$G30&gt;=Paramètres!$C$26),1,""))</f>
        <v/>
      </c>
      <c r="Z30" s="28">
        <f>IF(OR($C30="",$F30="",$G30=""),"",IF(AND($F30&lt;=Paramètres!$C$27+6,$G30&gt;=Paramètres!$C$27),1,""))</f>
        <v/>
      </c>
    </row>
    <row r="31" ht="22" customHeight="1">
      <c r="B31" s="24" t="inlineStr">
        <is>
          <t>TRANSVERSE</t>
        </is>
      </c>
      <c r="C31" s="25" t="inlineStr">
        <is>
          <t>Fiches express — formules &amp; schémas</t>
        </is>
      </c>
      <c r="D31" s="24" t="inlineStr">
        <is>
          <t>Fiches</t>
        </is>
      </c>
      <c r="E31" s="24" t="inlineStr">
        <is>
          <t>Haute</t>
        </is>
      </c>
      <c r="F31" s="26">
        <f>Paramètres!$C$5+(13-1)*7</f>
        <v/>
      </c>
      <c r="G31" s="26">
        <f>Paramètres!$C$5+(16)*7-1</f>
        <v/>
      </c>
      <c r="H31" s="27" t="n">
        <v>0</v>
      </c>
      <c r="I31" s="15">
        <f>IF(C31="","",IF(H31&gt;=1,"Terminé",IF(AND(G31&lt;&gt;"",G31&lt;TODAY(),H31&lt;1),"En retard",IF(H31&gt;0,"En cours","À faire"))))</f>
        <v/>
      </c>
      <c r="J31" s="15">
        <f>IF(OR(C31="",G31=""),"",G31-TODAY())</f>
        <v/>
      </c>
      <c r="K31" s="28">
        <f>IF(OR($C31="",$F31="",$G31=""),"",IF(AND($F31&lt;=Paramètres!$C$12+6,$G31&gt;=Paramètres!$C$12),1,""))</f>
        <v/>
      </c>
      <c r="L31" s="28">
        <f>IF(OR($C31="",$F31="",$G31=""),"",IF(AND($F31&lt;=Paramètres!$C$13+6,$G31&gt;=Paramètres!$C$13),1,""))</f>
        <v/>
      </c>
      <c r="M31" s="28">
        <f>IF(OR($C31="",$F31="",$G31=""),"",IF(AND($F31&lt;=Paramètres!$C$14+6,$G31&gt;=Paramètres!$C$14),1,""))</f>
        <v/>
      </c>
      <c r="N31" s="28">
        <f>IF(OR($C31="",$F31="",$G31=""),"",IF(AND($F31&lt;=Paramètres!$C$15+6,$G31&gt;=Paramètres!$C$15),1,""))</f>
        <v/>
      </c>
      <c r="O31" s="28">
        <f>IF(OR($C31="",$F31="",$G31=""),"",IF(AND($F31&lt;=Paramètres!$C$16+6,$G31&gt;=Paramètres!$C$16),1,""))</f>
        <v/>
      </c>
      <c r="P31" s="28">
        <f>IF(OR($C31="",$F31="",$G31=""),"",IF(AND($F31&lt;=Paramètres!$C$17+6,$G31&gt;=Paramètres!$C$17),1,""))</f>
        <v/>
      </c>
      <c r="Q31" s="28">
        <f>IF(OR($C31="",$F31="",$G31=""),"",IF(AND($F31&lt;=Paramètres!$C$18+6,$G31&gt;=Paramètres!$C$18),1,""))</f>
        <v/>
      </c>
      <c r="R31" s="28">
        <f>IF(OR($C31="",$F31="",$G31=""),"",IF(AND($F31&lt;=Paramètres!$C$19+6,$G31&gt;=Paramètres!$C$19),1,""))</f>
        <v/>
      </c>
      <c r="S31" s="28">
        <f>IF(OR($C31="",$F31="",$G31=""),"",IF(AND($F31&lt;=Paramètres!$C$20+6,$G31&gt;=Paramètres!$C$20),1,""))</f>
        <v/>
      </c>
      <c r="T31" s="28">
        <f>IF(OR($C31="",$F31="",$G31=""),"",IF(AND($F31&lt;=Paramètres!$C$21+6,$G31&gt;=Paramètres!$C$21),1,""))</f>
        <v/>
      </c>
      <c r="U31" s="28">
        <f>IF(OR($C31="",$F31="",$G31=""),"",IF(AND($F31&lt;=Paramètres!$C$22+6,$G31&gt;=Paramètres!$C$22),1,""))</f>
        <v/>
      </c>
      <c r="V31" s="28">
        <f>IF(OR($C31="",$F31="",$G31=""),"",IF(AND($F31&lt;=Paramètres!$C$23+6,$G31&gt;=Paramètres!$C$23),1,""))</f>
        <v/>
      </c>
      <c r="W31" s="28">
        <f>IF(OR($C31="",$F31="",$G31=""),"",IF(AND($F31&lt;=Paramètres!$C$24+6,$G31&gt;=Paramètres!$C$24),1,""))</f>
        <v/>
      </c>
      <c r="X31" s="28">
        <f>IF(OR($C31="",$F31="",$G31=""),"",IF(AND($F31&lt;=Paramètres!$C$25+6,$G31&gt;=Paramètres!$C$25),1,""))</f>
        <v/>
      </c>
      <c r="Y31" s="28">
        <f>IF(OR($C31="",$F31="",$G31=""),"",IF(AND($F31&lt;=Paramètres!$C$26+6,$G31&gt;=Paramètres!$C$26),1,""))</f>
        <v/>
      </c>
      <c r="Z31" s="28">
        <f>IF(OR($C31="",$F31="",$G31=""),"",IF(AND($F31&lt;=Paramètres!$C$27+6,$G31&gt;=Paramètres!$C$27),1,""))</f>
        <v/>
      </c>
    </row>
    <row r="32" ht="22" customHeight="1">
      <c r="B32" s="24" t="n"/>
      <c r="C32" s="25" t="n"/>
      <c r="D32" s="24" t="n"/>
      <c r="E32" s="24" t="n"/>
      <c r="F32" s="26" t="n"/>
      <c r="G32" s="26" t="n"/>
      <c r="H32" s="27" t="n"/>
      <c r="I32" s="15">
        <f>IF(C32="","",IF(H32&gt;=1,"Terminé",IF(AND(G32&lt;&gt;"",G32&lt;TODAY(),H32&lt;1),"En retard",IF(H32&gt;0,"En cours","À faire"))))</f>
        <v/>
      </c>
      <c r="J32" s="15">
        <f>IF(OR(C32="",G32=""),"",G32-TODAY())</f>
        <v/>
      </c>
      <c r="K32" s="28">
        <f>IF(OR($C32="",$F32="",$G32=""),"",IF(AND($F32&lt;=Paramètres!$C$12+6,$G32&gt;=Paramètres!$C$12),1,""))</f>
        <v/>
      </c>
      <c r="L32" s="28">
        <f>IF(OR($C32="",$F32="",$G32=""),"",IF(AND($F32&lt;=Paramètres!$C$13+6,$G32&gt;=Paramètres!$C$13),1,""))</f>
        <v/>
      </c>
      <c r="M32" s="28">
        <f>IF(OR($C32="",$F32="",$G32=""),"",IF(AND($F32&lt;=Paramètres!$C$14+6,$G32&gt;=Paramètres!$C$14),1,""))</f>
        <v/>
      </c>
      <c r="N32" s="28">
        <f>IF(OR($C32="",$F32="",$G32=""),"",IF(AND($F32&lt;=Paramètres!$C$15+6,$G32&gt;=Paramètres!$C$15),1,""))</f>
        <v/>
      </c>
      <c r="O32" s="28">
        <f>IF(OR($C32="",$F32="",$G32=""),"",IF(AND($F32&lt;=Paramètres!$C$16+6,$G32&gt;=Paramètres!$C$16),1,""))</f>
        <v/>
      </c>
      <c r="P32" s="28">
        <f>IF(OR($C32="",$F32="",$G32=""),"",IF(AND($F32&lt;=Paramètres!$C$17+6,$G32&gt;=Paramètres!$C$17),1,""))</f>
        <v/>
      </c>
      <c r="Q32" s="28">
        <f>IF(OR($C32="",$F32="",$G32=""),"",IF(AND($F32&lt;=Paramètres!$C$18+6,$G32&gt;=Paramètres!$C$18),1,""))</f>
        <v/>
      </c>
      <c r="R32" s="28">
        <f>IF(OR($C32="",$F32="",$G32=""),"",IF(AND($F32&lt;=Paramètres!$C$19+6,$G32&gt;=Paramètres!$C$19),1,""))</f>
        <v/>
      </c>
      <c r="S32" s="28">
        <f>IF(OR($C32="",$F32="",$G32=""),"",IF(AND($F32&lt;=Paramètres!$C$20+6,$G32&gt;=Paramètres!$C$20),1,""))</f>
        <v/>
      </c>
      <c r="T32" s="28">
        <f>IF(OR($C32="",$F32="",$G32=""),"",IF(AND($F32&lt;=Paramètres!$C$21+6,$G32&gt;=Paramètres!$C$21),1,""))</f>
        <v/>
      </c>
      <c r="U32" s="28">
        <f>IF(OR($C32="",$F32="",$G32=""),"",IF(AND($F32&lt;=Paramètres!$C$22+6,$G32&gt;=Paramètres!$C$22),1,""))</f>
        <v/>
      </c>
      <c r="V32" s="28">
        <f>IF(OR($C32="",$F32="",$G32=""),"",IF(AND($F32&lt;=Paramètres!$C$23+6,$G32&gt;=Paramètres!$C$23),1,""))</f>
        <v/>
      </c>
      <c r="W32" s="28">
        <f>IF(OR($C32="",$F32="",$G32=""),"",IF(AND($F32&lt;=Paramètres!$C$24+6,$G32&gt;=Paramètres!$C$24),1,""))</f>
        <v/>
      </c>
      <c r="X32" s="28">
        <f>IF(OR($C32="",$F32="",$G32=""),"",IF(AND($F32&lt;=Paramètres!$C$25+6,$G32&gt;=Paramètres!$C$25),1,""))</f>
        <v/>
      </c>
      <c r="Y32" s="28">
        <f>IF(OR($C32="",$F32="",$G32=""),"",IF(AND($F32&lt;=Paramètres!$C$26+6,$G32&gt;=Paramètres!$C$26),1,""))</f>
        <v/>
      </c>
      <c r="Z32" s="28">
        <f>IF(OR($C32="",$F32="",$G32=""),"",IF(AND($F32&lt;=Paramètres!$C$27+6,$G32&gt;=Paramètres!$C$27),1,""))</f>
        <v/>
      </c>
    </row>
    <row r="33" ht="22" customHeight="1">
      <c r="B33" s="24" t="n"/>
      <c r="C33" s="25" t="n"/>
      <c r="D33" s="24" t="n"/>
      <c r="E33" s="24" t="n"/>
      <c r="F33" s="26" t="n"/>
      <c r="G33" s="26" t="n"/>
      <c r="H33" s="27" t="n"/>
      <c r="I33" s="15">
        <f>IF(C33="","",IF(H33&gt;=1,"Terminé",IF(AND(G33&lt;&gt;"",G33&lt;TODAY(),H33&lt;1),"En retard",IF(H33&gt;0,"En cours","À faire"))))</f>
        <v/>
      </c>
      <c r="J33" s="15">
        <f>IF(OR(C33="",G33=""),"",G33-TODAY())</f>
        <v/>
      </c>
      <c r="K33" s="28">
        <f>IF(OR($C33="",$F33="",$G33=""),"",IF(AND($F33&lt;=Paramètres!$C$12+6,$G33&gt;=Paramètres!$C$12),1,""))</f>
        <v/>
      </c>
      <c r="L33" s="28">
        <f>IF(OR($C33="",$F33="",$G33=""),"",IF(AND($F33&lt;=Paramètres!$C$13+6,$G33&gt;=Paramètres!$C$13),1,""))</f>
        <v/>
      </c>
      <c r="M33" s="28">
        <f>IF(OR($C33="",$F33="",$G33=""),"",IF(AND($F33&lt;=Paramètres!$C$14+6,$G33&gt;=Paramètres!$C$14),1,""))</f>
        <v/>
      </c>
      <c r="N33" s="28">
        <f>IF(OR($C33="",$F33="",$G33=""),"",IF(AND($F33&lt;=Paramètres!$C$15+6,$G33&gt;=Paramètres!$C$15),1,""))</f>
        <v/>
      </c>
      <c r="O33" s="28">
        <f>IF(OR($C33="",$F33="",$G33=""),"",IF(AND($F33&lt;=Paramètres!$C$16+6,$G33&gt;=Paramètres!$C$16),1,""))</f>
        <v/>
      </c>
      <c r="P33" s="28">
        <f>IF(OR($C33="",$F33="",$G33=""),"",IF(AND($F33&lt;=Paramètres!$C$17+6,$G33&gt;=Paramètres!$C$17),1,""))</f>
        <v/>
      </c>
      <c r="Q33" s="28">
        <f>IF(OR($C33="",$F33="",$G33=""),"",IF(AND($F33&lt;=Paramètres!$C$18+6,$G33&gt;=Paramètres!$C$18),1,""))</f>
        <v/>
      </c>
      <c r="R33" s="28">
        <f>IF(OR($C33="",$F33="",$G33=""),"",IF(AND($F33&lt;=Paramètres!$C$19+6,$G33&gt;=Paramètres!$C$19),1,""))</f>
        <v/>
      </c>
      <c r="S33" s="28">
        <f>IF(OR($C33="",$F33="",$G33=""),"",IF(AND($F33&lt;=Paramètres!$C$20+6,$G33&gt;=Paramètres!$C$20),1,""))</f>
        <v/>
      </c>
      <c r="T33" s="28">
        <f>IF(OR($C33="",$F33="",$G33=""),"",IF(AND($F33&lt;=Paramètres!$C$21+6,$G33&gt;=Paramètres!$C$21),1,""))</f>
        <v/>
      </c>
      <c r="U33" s="28">
        <f>IF(OR($C33="",$F33="",$G33=""),"",IF(AND($F33&lt;=Paramètres!$C$22+6,$G33&gt;=Paramètres!$C$22),1,""))</f>
        <v/>
      </c>
      <c r="V33" s="28">
        <f>IF(OR($C33="",$F33="",$G33=""),"",IF(AND($F33&lt;=Paramètres!$C$23+6,$G33&gt;=Paramètres!$C$23),1,""))</f>
        <v/>
      </c>
      <c r="W33" s="28">
        <f>IF(OR($C33="",$F33="",$G33=""),"",IF(AND($F33&lt;=Paramètres!$C$24+6,$G33&gt;=Paramètres!$C$24),1,""))</f>
        <v/>
      </c>
      <c r="X33" s="28">
        <f>IF(OR($C33="",$F33="",$G33=""),"",IF(AND($F33&lt;=Paramètres!$C$25+6,$G33&gt;=Paramètres!$C$25),1,""))</f>
        <v/>
      </c>
      <c r="Y33" s="28">
        <f>IF(OR($C33="",$F33="",$G33=""),"",IF(AND($F33&lt;=Paramètres!$C$26+6,$G33&gt;=Paramètres!$C$26),1,""))</f>
        <v/>
      </c>
      <c r="Z33" s="28">
        <f>IF(OR($C33="",$F33="",$G33=""),"",IF(AND($F33&lt;=Paramètres!$C$27+6,$G33&gt;=Paramètres!$C$27),1,""))</f>
        <v/>
      </c>
    </row>
    <row r="34" ht="22" customHeight="1">
      <c r="B34" s="24" t="n"/>
      <c r="C34" s="25" t="n"/>
      <c r="D34" s="24" t="n"/>
      <c r="E34" s="24" t="n"/>
      <c r="F34" s="26" t="n"/>
      <c r="G34" s="26" t="n"/>
      <c r="H34" s="27" t="n"/>
      <c r="I34" s="15">
        <f>IF(C34="","",IF(H34&gt;=1,"Terminé",IF(AND(G34&lt;&gt;"",G34&lt;TODAY(),H34&lt;1),"En retard",IF(H34&gt;0,"En cours","À faire"))))</f>
        <v/>
      </c>
      <c r="J34" s="15">
        <f>IF(OR(C34="",G34=""),"",G34-TODAY())</f>
        <v/>
      </c>
      <c r="K34" s="28">
        <f>IF(OR($C34="",$F34="",$G34=""),"",IF(AND($F34&lt;=Paramètres!$C$12+6,$G34&gt;=Paramètres!$C$12),1,""))</f>
        <v/>
      </c>
      <c r="L34" s="28">
        <f>IF(OR($C34="",$F34="",$G34=""),"",IF(AND($F34&lt;=Paramètres!$C$13+6,$G34&gt;=Paramètres!$C$13),1,""))</f>
        <v/>
      </c>
      <c r="M34" s="28">
        <f>IF(OR($C34="",$F34="",$G34=""),"",IF(AND($F34&lt;=Paramètres!$C$14+6,$G34&gt;=Paramètres!$C$14),1,""))</f>
        <v/>
      </c>
      <c r="N34" s="28">
        <f>IF(OR($C34="",$F34="",$G34=""),"",IF(AND($F34&lt;=Paramètres!$C$15+6,$G34&gt;=Paramètres!$C$15),1,""))</f>
        <v/>
      </c>
      <c r="O34" s="28">
        <f>IF(OR($C34="",$F34="",$G34=""),"",IF(AND($F34&lt;=Paramètres!$C$16+6,$G34&gt;=Paramètres!$C$16),1,""))</f>
        <v/>
      </c>
      <c r="P34" s="28">
        <f>IF(OR($C34="",$F34="",$G34=""),"",IF(AND($F34&lt;=Paramètres!$C$17+6,$G34&gt;=Paramètres!$C$17),1,""))</f>
        <v/>
      </c>
      <c r="Q34" s="28">
        <f>IF(OR($C34="",$F34="",$G34=""),"",IF(AND($F34&lt;=Paramètres!$C$18+6,$G34&gt;=Paramètres!$C$18),1,""))</f>
        <v/>
      </c>
      <c r="R34" s="28">
        <f>IF(OR($C34="",$F34="",$G34=""),"",IF(AND($F34&lt;=Paramètres!$C$19+6,$G34&gt;=Paramètres!$C$19),1,""))</f>
        <v/>
      </c>
      <c r="S34" s="28">
        <f>IF(OR($C34="",$F34="",$G34=""),"",IF(AND($F34&lt;=Paramètres!$C$20+6,$G34&gt;=Paramètres!$C$20),1,""))</f>
        <v/>
      </c>
      <c r="T34" s="28">
        <f>IF(OR($C34="",$F34="",$G34=""),"",IF(AND($F34&lt;=Paramètres!$C$21+6,$G34&gt;=Paramètres!$C$21),1,""))</f>
        <v/>
      </c>
      <c r="U34" s="28">
        <f>IF(OR($C34="",$F34="",$G34=""),"",IF(AND($F34&lt;=Paramètres!$C$22+6,$G34&gt;=Paramètres!$C$22),1,""))</f>
        <v/>
      </c>
      <c r="V34" s="28">
        <f>IF(OR($C34="",$F34="",$G34=""),"",IF(AND($F34&lt;=Paramètres!$C$23+6,$G34&gt;=Paramètres!$C$23),1,""))</f>
        <v/>
      </c>
      <c r="W34" s="28">
        <f>IF(OR($C34="",$F34="",$G34=""),"",IF(AND($F34&lt;=Paramètres!$C$24+6,$G34&gt;=Paramètres!$C$24),1,""))</f>
        <v/>
      </c>
      <c r="X34" s="28">
        <f>IF(OR($C34="",$F34="",$G34=""),"",IF(AND($F34&lt;=Paramètres!$C$25+6,$G34&gt;=Paramètres!$C$25),1,""))</f>
        <v/>
      </c>
      <c r="Y34" s="28">
        <f>IF(OR($C34="",$F34="",$G34=""),"",IF(AND($F34&lt;=Paramètres!$C$26+6,$G34&gt;=Paramètres!$C$26),1,""))</f>
        <v/>
      </c>
      <c r="Z34" s="28">
        <f>IF(OR($C34="",$F34="",$G34=""),"",IF(AND($F34&lt;=Paramètres!$C$27+6,$G34&gt;=Paramètres!$C$27),1,""))</f>
        <v/>
      </c>
    </row>
    <row r="35" ht="22" customHeight="1">
      <c r="B35" s="24" t="n"/>
      <c r="C35" s="25" t="n"/>
      <c r="D35" s="24" t="n"/>
      <c r="E35" s="24" t="n"/>
      <c r="F35" s="26" t="n"/>
      <c r="G35" s="26" t="n"/>
      <c r="H35" s="27" t="n"/>
      <c r="I35" s="15">
        <f>IF(C35="","",IF(H35&gt;=1,"Terminé",IF(AND(G35&lt;&gt;"",G35&lt;TODAY(),H35&lt;1),"En retard",IF(H35&gt;0,"En cours","À faire"))))</f>
        <v/>
      </c>
      <c r="J35" s="15">
        <f>IF(OR(C35="",G35=""),"",G35-TODAY())</f>
        <v/>
      </c>
      <c r="K35" s="28">
        <f>IF(OR($C35="",$F35="",$G35=""),"",IF(AND($F35&lt;=Paramètres!$C$12+6,$G35&gt;=Paramètres!$C$12),1,""))</f>
        <v/>
      </c>
      <c r="L35" s="28">
        <f>IF(OR($C35="",$F35="",$G35=""),"",IF(AND($F35&lt;=Paramètres!$C$13+6,$G35&gt;=Paramètres!$C$13),1,""))</f>
        <v/>
      </c>
      <c r="M35" s="28">
        <f>IF(OR($C35="",$F35="",$G35=""),"",IF(AND($F35&lt;=Paramètres!$C$14+6,$G35&gt;=Paramètres!$C$14),1,""))</f>
        <v/>
      </c>
      <c r="N35" s="28">
        <f>IF(OR($C35="",$F35="",$G35=""),"",IF(AND($F35&lt;=Paramètres!$C$15+6,$G35&gt;=Paramètres!$C$15),1,""))</f>
        <v/>
      </c>
      <c r="O35" s="28">
        <f>IF(OR($C35="",$F35="",$G35=""),"",IF(AND($F35&lt;=Paramètres!$C$16+6,$G35&gt;=Paramètres!$C$16),1,""))</f>
        <v/>
      </c>
      <c r="P35" s="28">
        <f>IF(OR($C35="",$F35="",$G35=""),"",IF(AND($F35&lt;=Paramètres!$C$17+6,$G35&gt;=Paramètres!$C$17),1,""))</f>
        <v/>
      </c>
      <c r="Q35" s="28">
        <f>IF(OR($C35="",$F35="",$G35=""),"",IF(AND($F35&lt;=Paramètres!$C$18+6,$G35&gt;=Paramètres!$C$18),1,""))</f>
        <v/>
      </c>
      <c r="R35" s="28">
        <f>IF(OR($C35="",$F35="",$G35=""),"",IF(AND($F35&lt;=Paramètres!$C$19+6,$G35&gt;=Paramètres!$C$19),1,""))</f>
        <v/>
      </c>
      <c r="S35" s="28">
        <f>IF(OR($C35="",$F35="",$G35=""),"",IF(AND($F35&lt;=Paramètres!$C$20+6,$G35&gt;=Paramètres!$C$20),1,""))</f>
        <v/>
      </c>
      <c r="T35" s="28">
        <f>IF(OR($C35="",$F35="",$G35=""),"",IF(AND($F35&lt;=Paramètres!$C$21+6,$G35&gt;=Paramètres!$C$21),1,""))</f>
        <v/>
      </c>
      <c r="U35" s="28">
        <f>IF(OR($C35="",$F35="",$G35=""),"",IF(AND($F35&lt;=Paramètres!$C$22+6,$G35&gt;=Paramètres!$C$22),1,""))</f>
        <v/>
      </c>
      <c r="V35" s="28">
        <f>IF(OR($C35="",$F35="",$G35=""),"",IF(AND($F35&lt;=Paramètres!$C$23+6,$G35&gt;=Paramètres!$C$23),1,""))</f>
        <v/>
      </c>
      <c r="W35" s="28">
        <f>IF(OR($C35="",$F35="",$G35=""),"",IF(AND($F35&lt;=Paramètres!$C$24+6,$G35&gt;=Paramètres!$C$24),1,""))</f>
        <v/>
      </c>
      <c r="X35" s="28">
        <f>IF(OR($C35="",$F35="",$G35=""),"",IF(AND($F35&lt;=Paramètres!$C$25+6,$G35&gt;=Paramètres!$C$25),1,""))</f>
        <v/>
      </c>
      <c r="Y35" s="28">
        <f>IF(OR($C35="",$F35="",$G35=""),"",IF(AND($F35&lt;=Paramètres!$C$26+6,$G35&gt;=Paramètres!$C$26),1,""))</f>
        <v/>
      </c>
      <c r="Z35" s="28">
        <f>IF(OR($C35="",$F35="",$G35=""),"",IF(AND($F35&lt;=Paramètres!$C$27+6,$G35&gt;=Paramètres!$C$27),1,""))</f>
        <v/>
      </c>
    </row>
    <row r="36" ht="22" customHeight="1">
      <c r="B36" s="24" t="n"/>
      <c r="C36" s="25" t="n"/>
      <c r="D36" s="24" t="n"/>
      <c r="E36" s="24" t="n"/>
      <c r="F36" s="26" t="n"/>
      <c r="G36" s="26" t="n"/>
      <c r="H36" s="27" t="n"/>
      <c r="I36" s="15">
        <f>IF(C36="","",IF(H36&gt;=1,"Terminé",IF(AND(G36&lt;&gt;"",G36&lt;TODAY(),H36&lt;1),"En retard",IF(H36&gt;0,"En cours","À faire"))))</f>
        <v/>
      </c>
      <c r="J36" s="15">
        <f>IF(OR(C36="",G36=""),"",G36-TODAY())</f>
        <v/>
      </c>
      <c r="K36" s="28">
        <f>IF(OR($C36="",$F36="",$G36=""),"",IF(AND($F36&lt;=Paramètres!$C$12+6,$G36&gt;=Paramètres!$C$12),1,""))</f>
        <v/>
      </c>
      <c r="L36" s="28">
        <f>IF(OR($C36="",$F36="",$G36=""),"",IF(AND($F36&lt;=Paramètres!$C$13+6,$G36&gt;=Paramètres!$C$13),1,""))</f>
        <v/>
      </c>
      <c r="M36" s="28">
        <f>IF(OR($C36="",$F36="",$G36=""),"",IF(AND($F36&lt;=Paramètres!$C$14+6,$G36&gt;=Paramètres!$C$14),1,""))</f>
        <v/>
      </c>
      <c r="N36" s="28">
        <f>IF(OR($C36="",$F36="",$G36=""),"",IF(AND($F36&lt;=Paramètres!$C$15+6,$G36&gt;=Paramètres!$C$15),1,""))</f>
        <v/>
      </c>
      <c r="O36" s="28">
        <f>IF(OR($C36="",$F36="",$G36=""),"",IF(AND($F36&lt;=Paramètres!$C$16+6,$G36&gt;=Paramètres!$C$16),1,""))</f>
        <v/>
      </c>
      <c r="P36" s="28">
        <f>IF(OR($C36="",$F36="",$G36=""),"",IF(AND($F36&lt;=Paramètres!$C$17+6,$G36&gt;=Paramètres!$C$17),1,""))</f>
        <v/>
      </c>
      <c r="Q36" s="28">
        <f>IF(OR($C36="",$F36="",$G36=""),"",IF(AND($F36&lt;=Paramètres!$C$18+6,$G36&gt;=Paramètres!$C$18),1,""))</f>
        <v/>
      </c>
      <c r="R36" s="28">
        <f>IF(OR($C36="",$F36="",$G36=""),"",IF(AND($F36&lt;=Paramètres!$C$19+6,$G36&gt;=Paramètres!$C$19),1,""))</f>
        <v/>
      </c>
      <c r="S36" s="28">
        <f>IF(OR($C36="",$F36="",$G36=""),"",IF(AND($F36&lt;=Paramètres!$C$20+6,$G36&gt;=Paramètres!$C$20),1,""))</f>
        <v/>
      </c>
      <c r="T36" s="28">
        <f>IF(OR($C36="",$F36="",$G36=""),"",IF(AND($F36&lt;=Paramètres!$C$21+6,$G36&gt;=Paramètres!$C$21),1,""))</f>
        <v/>
      </c>
      <c r="U36" s="28">
        <f>IF(OR($C36="",$F36="",$G36=""),"",IF(AND($F36&lt;=Paramètres!$C$22+6,$G36&gt;=Paramètres!$C$22),1,""))</f>
        <v/>
      </c>
      <c r="V36" s="28">
        <f>IF(OR($C36="",$F36="",$G36=""),"",IF(AND($F36&lt;=Paramètres!$C$23+6,$G36&gt;=Paramètres!$C$23),1,""))</f>
        <v/>
      </c>
      <c r="W36" s="28">
        <f>IF(OR($C36="",$F36="",$G36=""),"",IF(AND($F36&lt;=Paramètres!$C$24+6,$G36&gt;=Paramètres!$C$24),1,""))</f>
        <v/>
      </c>
      <c r="X36" s="28">
        <f>IF(OR($C36="",$F36="",$G36=""),"",IF(AND($F36&lt;=Paramètres!$C$25+6,$G36&gt;=Paramètres!$C$25),1,""))</f>
        <v/>
      </c>
      <c r="Y36" s="28">
        <f>IF(OR($C36="",$F36="",$G36=""),"",IF(AND($F36&lt;=Paramètres!$C$26+6,$G36&gt;=Paramètres!$C$26),1,""))</f>
        <v/>
      </c>
      <c r="Z36" s="28">
        <f>IF(OR($C36="",$F36="",$G36=""),"",IF(AND($F36&lt;=Paramètres!$C$27+6,$G36&gt;=Paramètres!$C$27),1,""))</f>
        <v/>
      </c>
    </row>
    <row r="37" ht="22" customHeight="1">
      <c r="B37" s="24" t="n"/>
      <c r="C37" s="25" t="n"/>
      <c r="D37" s="24" t="n"/>
      <c r="E37" s="24" t="n"/>
      <c r="F37" s="26" t="n"/>
      <c r="G37" s="26" t="n"/>
      <c r="H37" s="27" t="n"/>
      <c r="I37" s="15">
        <f>IF(C37="","",IF(H37&gt;=1,"Terminé",IF(AND(G37&lt;&gt;"",G37&lt;TODAY(),H37&lt;1),"En retard",IF(H37&gt;0,"En cours","À faire"))))</f>
        <v/>
      </c>
      <c r="J37" s="15">
        <f>IF(OR(C37="",G37=""),"",G37-TODAY())</f>
        <v/>
      </c>
      <c r="K37" s="28">
        <f>IF(OR($C37="",$F37="",$G37=""),"",IF(AND($F37&lt;=Paramètres!$C$12+6,$G37&gt;=Paramètres!$C$12),1,""))</f>
        <v/>
      </c>
      <c r="L37" s="28">
        <f>IF(OR($C37="",$F37="",$G37=""),"",IF(AND($F37&lt;=Paramètres!$C$13+6,$G37&gt;=Paramètres!$C$13),1,""))</f>
        <v/>
      </c>
      <c r="M37" s="28">
        <f>IF(OR($C37="",$F37="",$G37=""),"",IF(AND($F37&lt;=Paramètres!$C$14+6,$G37&gt;=Paramètres!$C$14),1,""))</f>
        <v/>
      </c>
      <c r="N37" s="28">
        <f>IF(OR($C37="",$F37="",$G37=""),"",IF(AND($F37&lt;=Paramètres!$C$15+6,$G37&gt;=Paramètres!$C$15),1,""))</f>
        <v/>
      </c>
      <c r="O37" s="28">
        <f>IF(OR($C37="",$F37="",$G37=""),"",IF(AND($F37&lt;=Paramètres!$C$16+6,$G37&gt;=Paramètres!$C$16),1,""))</f>
        <v/>
      </c>
      <c r="P37" s="28">
        <f>IF(OR($C37="",$F37="",$G37=""),"",IF(AND($F37&lt;=Paramètres!$C$17+6,$G37&gt;=Paramètres!$C$17),1,""))</f>
        <v/>
      </c>
      <c r="Q37" s="28">
        <f>IF(OR($C37="",$F37="",$G37=""),"",IF(AND($F37&lt;=Paramètres!$C$18+6,$G37&gt;=Paramètres!$C$18),1,""))</f>
        <v/>
      </c>
      <c r="R37" s="28">
        <f>IF(OR($C37="",$F37="",$G37=""),"",IF(AND($F37&lt;=Paramètres!$C$19+6,$G37&gt;=Paramètres!$C$19),1,""))</f>
        <v/>
      </c>
      <c r="S37" s="28">
        <f>IF(OR($C37="",$F37="",$G37=""),"",IF(AND($F37&lt;=Paramètres!$C$20+6,$G37&gt;=Paramètres!$C$20),1,""))</f>
        <v/>
      </c>
      <c r="T37" s="28">
        <f>IF(OR($C37="",$F37="",$G37=""),"",IF(AND($F37&lt;=Paramètres!$C$21+6,$G37&gt;=Paramètres!$C$21),1,""))</f>
        <v/>
      </c>
      <c r="U37" s="28">
        <f>IF(OR($C37="",$F37="",$G37=""),"",IF(AND($F37&lt;=Paramètres!$C$22+6,$G37&gt;=Paramètres!$C$22),1,""))</f>
        <v/>
      </c>
      <c r="V37" s="28">
        <f>IF(OR($C37="",$F37="",$G37=""),"",IF(AND($F37&lt;=Paramètres!$C$23+6,$G37&gt;=Paramètres!$C$23),1,""))</f>
        <v/>
      </c>
      <c r="W37" s="28">
        <f>IF(OR($C37="",$F37="",$G37=""),"",IF(AND($F37&lt;=Paramètres!$C$24+6,$G37&gt;=Paramètres!$C$24),1,""))</f>
        <v/>
      </c>
      <c r="X37" s="28">
        <f>IF(OR($C37="",$F37="",$G37=""),"",IF(AND($F37&lt;=Paramètres!$C$25+6,$G37&gt;=Paramètres!$C$25),1,""))</f>
        <v/>
      </c>
      <c r="Y37" s="28">
        <f>IF(OR($C37="",$F37="",$G37=""),"",IF(AND($F37&lt;=Paramètres!$C$26+6,$G37&gt;=Paramètres!$C$26),1,""))</f>
        <v/>
      </c>
      <c r="Z37" s="28">
        <f>IF(OR($C37="",$F37="",$G37=""),"",IF(AND($F37&lt;=Paramètres!$C$27+6,$G37&gt;=Paramètres!$C$27),1,""))</f>
        <v/>
      </c>
    </row>
    <row r="38" ht="22" customHeight="1">
      <c r="B38" s="24" t="n"/>
      <c r="C38" s="25" t="n"/>
      <c r="D38" s="24" t="n"/>
      <c r="E38" s="24" t="n"/>
      <c r="F38" s="26" t="n"/>
      <c r="G38" s="26" t="n"/>
      <c r="H38" s="27" t="n"/>
      <c r="I38" s="15">
        <f>IF(C38="","",IF(H38&gt;=1,"Terminé",IF(AND(G38&lt;&gt;"",G38&lt;TODAY(),H38&lt;1),"En retard",IF(H38&gt;0,"En cours","À faire"))))</f>
        <v/>
      </c>
      <c r="J38" s="15">
        <f>IF(OR(C38="",G38=""),"",G38-TODAY())</f>
        <v/>
      </c>
      <c r="K38" s="28">
        <f>IF(OR($C38="",$F38="",$G38=""),"",IF(AND($F38&lt;=Paramètres!$C$12+6,$G38&gt;=Paramètres!$C$12),1,""))</f>
        <v/>
      </c>
      <c r="L38" s="28">
        <f>IF(OR($C38="",$F38="",$G38=""),"",IF(AND($F38&lt;=Paramètres!$C$13+6,$G38&gt;=Paramètres!$C$13),1,""))</f>
        <v/>
      </c>
      <c r="M38" s="28">
        <f>IF(OR($C38="",$F38="",$G38=""),"",IF(AND($F38&lt;=Paramètres!$C$14+6,$G38&gt;=Paramètres!$C$14),1,""))</f>
        <v/>
      </c>
      <c r="N38" s="28">
        <f>IF(OR($C38="",$F38="",$G38=""),"",IF(AND($F38&lt;=Paramètres!$C$15+6,$G38&gt;=Paramètres!$C$15),1,""))</f>
        <v/>
      </c>
      <c r="O38" s="28">
        <f>IF(OR($C38="",$F38="",$G38=""),"",IF(AND($F38&lt;=Paramètres!$C$16+6,$G38&gt;=Paramètres!$C$16),1,""))</f>
        <v/>
      </c>
      <c r="P38" s="28">
        <f>IF(OR($C38="",$F38="",$G38=""),"",IF(AND($F38&lt;=Paramètres!$C$17+6,$G38&gt;=Paramètres!$C$17),1,""))</f>
        <v/>
      </c>
      <c r="Q38" s="28">
        <f>IF(OR($C38="",$F38="",$G38=""),"",IF(AND($F38&lt;=Paramètres!$C$18+6,$G38&gt;=Paramètres!$C$18),1,""))</f>
        <v/>
      </c>
      <c r="R38" s="28">
        <f>IF(OR($C38="",$F38="",$G38=""),"",IF(AND($F38&lt;=Paramètres!$C$19+6,$G38&gt;=Paramètres!$C$19),1,""))</f>
        <v/>
      </c>
      <c r="S38" s="28">
        <f>IF(OR($C38="",$F38="",$G38=""),"",IF(AND($F38&lt;=Paramètres!$C$20+6,$G38&gt;=Paramètres!$C$20),1,""))</f>
        <v/>
      </c>
      <c r="T38" s="28">
        <f>IF(OR($C38="",$F38="",$G38=""),"",IF(AND($F38&lt;=Paramètres!$C$21+6,$G38&gt;=Paramètres!$C$21),1,""))</f>
        <v/>
      </c>
      <c r="U38" s="28">
        <f>IF(OR($C38="",$F38="",$G38=""),"",IF(AND($F38&lt;=Paramètres!$C$22+6,$G38&gt;=Paramètres!$C$22),1,""))</f>
        <v/>
      </c>
      <c r="V38" s="28">
        <f>IF(OR($C38="",$F38="",$G38=""),"",IF(AND($F38&lt;=Paramètres!$C$23+6,$G38&gt;=Paramètres!$C$23),1,""))</f>
        <v/>
      </c>
      <c r="W38" s="28">
        <f>IF(OR($C38="",$F38="",$G38=""),"",IF(AND($F38&lt;=Paramètres!$C$24+6,$G38&gt;=Paramètres!$C$24),1,""))</f>
        <v/>
      </c>
      <c r="X38" s="28">
        <f>IF(OR($C38="",$F38="",$G38=""),"",IF(AND($F38&lt;=Paramètres!$C$25+6,$G38&gt;=Paramètres!$C$25),1,""))</f>
        <v/>
      </c>
      <c r="Y38" s="28">
        <f>IF(OR($C38="",$F38="",$G38=""),"",IF(AND($F38&lt;=Paramètres!$C$26+6,$G38&gt;=Paramètres!$C$26),1,""))</f>
        <v/>
      </c>
      <c r="Z38" s="28">
        <f>IF(OR($C38="",$F38="",$G38=""),"",IF(AND($F38&lt;=Paramètres!$C$27+6,$G38&gt;=Paramètres!$C$27),1,""))</f>
        <v/>
      </c>
    </row>
    <row r="39" ht="22" customHeight="1">
      <c r="B39" s="24" t="n"/>
      <c r="C39" s="25" t="n"/>
      <c r="D39" s="24" t="n"/>
      <c r="E39" s="24" t="n"/>
      <c r="F39" s="26" t="n"/>
      <c r="G39" s="26" t="n"/>
      <c r="H39" s="27" t="n"/>
      <c r="I39" s="15">
        <f>IF(C39="","",IF(H39&gt;=1,"Terminé",IF(AND(G39&lt;&gt;"",G39&lt;TODAY(),H39&lt;1),"En retard",IF(H39&gt;0,"En cours","À faire"))))</f>
        <v/>
      </c>
      <c r="J39" s="15">
        <f>IF(OR(C39="",G39=""),"",G39-TODAY())</f>
        <v/>
      </c>
      <c r="K39" s="28">
        <f>IF(OR($C39="",$F39="",$G39=""),"",IF(AND($F39&lt;=Paramètres!$C$12+6,$G39&gt;=Paramètres!$C$12),1,""))</f>
        <v/>
      </c>
      <c r="L39" s="28">
        <f>IF(OR($C39="",$F39="",$G39=""),"",IF(AND($F39&lt;=Paramètres!$C$13+6,$G39&gt;=Paramètres!$C$13),1,""))</f>
        <v/>
      </c>
      <c r="M39" s="28">
        <f>IF(OR($C39="",$F39="",$G39=""),"",IF(AND($F39&lt;=Paramètres!$C$14+6,$G39&gt;=Paramètres!$C$14),1,""))</f>
        <v/>
      </c>
      <c r="N39" s="28">
        <f>IF(OR($C39="",$F39="",$G39=""),"",IF(AND($F39&lt;=Paramètres!$C$15+6,$G39&gt;=Paramètres!$C$15),1,""))</f>
        <v/>
      </c>
      <c r="O39" s="28">
        <f>IF(OR($C39="",$F39="",$G39=""),"",IF(AND($F39&lt;=Paramètres!$C$16+6,$G39&gt;=Paramètres!$C$16),1,""))</f>
        <v/>
      </c>
      <c r="P39" s="28">
        <f>IF(OR($C39="",$F39="",$G39=""),"",IF(AND($F39&lt;=Paramètres!$C$17+6,$G39&gt;=Paramètres!$C$17),1,""))</f>
        <v/>
      </c>
      <c r="Q39" s="28">
        <f>IF(OR($C39="",$F39="",$G39=""),"",IF(AND($F39&lt;=Paramètres!$C$18+6,$G39&gt;=Paramètres!$C$18),1,""))</f>
        <v/>
      </c>
      <c r="R39" s="28">
        <f>IF(OR($C39="",$F39="",$G39=""),"",IF(AND($F39&lt;=Paramètres!$C$19+6,$G39&gt;=Paramètres!$C$19),1,""))</f>
        <v/>
      </c>
      <c r="S39" s="28">
        <f>IF(OR($C39="",$F39="",$G39=""),"",IF(AND($F39&lt;=Paramètres!$C$20+6,$G39&gt;=Paramètres!$C$20),1,""))</f>
        <v/>
      </c>
      <c r="T39" s="28">
        <f>IF(OR($C39="",$F39="",$G39=""),"",IF(AND($F39&lt;=Paramètres!$C$21+6,$G39&gt;=Paramètres!$C$21),1,""))</f>
        <v/>
      </c>
      <c r="U39" s="28">
        <f>IF(OR($C39="",$F39="",$G39=""),"",IF(AND($F39&lt;=Paramètres!$C$22+6,$G39&gt;=Paramètres!$C$22),1,""))</f>
        <v/>
      </c>
      <c r="V39" s="28">
        <f>IF(OR($C39="",$F39="",$G39=""),"",IF(AND($F39&lt;=Paramètres!$C$23+6,$G39&gt;=Paramètres!$C$23),1,""))</f>
        <v/>
      </c>
      <c r="W39" s="28">
        <f>IF(OR($C39="",$F39="",$G39=""),"",IF(AND($F39&lt;=Paramètres!$C$24+6,$G39&gt;=Paramètres!$C$24),1,""))</f>
        <v/>
      </c>
      <c r="X39" s="28">
        <f>IF(OR($C39="",$F39="",$G39=""),"",IF(AND($F39&lt;=Paramètres!$C$25+6,$G39&gt;=Paramètres!$C$25),1,""))</f>
        <v/>
      </c>
      <c r="Y39" s="28">
        <f>IF(OR($C39="",$F39="",$G39=""),"",IF(AND($F39&lt;=Paramètres!$C$26+6,$G39&gt;=Paramètres!$C$26),1,""))</f>
        <v/>
      </c>
      <c r="Z39" s="28">
        <f>IF(OR($C39="",$F39="",$G39=""),"",IF(AND($F39&lt;=Paramètres!$C$27+6,$G39&gt;=Paramètres!$C$27),1,""))</f>
        <v/>
      </c>
    </row>
    <row r="40" ht="22" customHeight="1">
      <c r="B40" s="24" t="n"/>
      <c r="C40" s="25" t="n"/>
      <c r="D40" s="24" t="n"/>
      <c r="E40" s="24" t="n"/>
      <c r="F40" s="26" t="n"/>
      <c r="G40" s="26" t="n"/>
      <c r="H40" s="27" t="n"/>
      <c r="I40" s="15">
        <f>IF(C40="","",IF(H40&gt;=1,"Terminé",IF(AND(G40&lt;&gt;"",G40&lt;TODAY(),H40&lt;1),"En retard",IF(H40&gt;0,"En cours","À faire"))))</f>
        <v/>
      </c>
      <c r="J40" s="15">
        <f>IF(OR(C40="",G40=""),"",G40-TODAY())</f>
        <v/>
      </c>
      <c r="K40" s="28">
        <f>IF(OR($C40="",$F40="",$G40=""),"",IF(AND($F40&lt;=Paramètres!$C$12+6,$G40&gt;=Paramètres!$C$12),1,""))</f>
        <v/>
      </c>
      <c r="L40" s="28">
        <f>IF(OR($C40="",$F40="",$G40=""),"",IF(AND($F40&lt;=Paramètres!$C$13+6,$G40&gt;=Paramètres!$C$13),1,""))</f>
        <v/>
      </c>
      <c r="M40" s="28">
        <f>IF(OR($C40="",$F40="",$G40=""),"",IF(AND($F40&lt;=Paramètres!$C$14+6,$G40&gt;=Paramètres!$C$14),1,""))</f>
        <v/>
      </c>
      <c r="N40" s="28">
        <f>IF(OR($C40="",$F40="",$G40=""),"",IF(AND($F40&lt;=Paramètres!$C$15+6,$G40&gt;=Paramètres!$C$15),1,""))</f>
        <v/>
      </c>
      <c r="O40" s="28">
        <f>IF(OR($C40="",$F40="",$G40=""),"",IF(AND($F40&lt;=Paramètres!$C$16+6,$G40&gt;=Paramètres!$C$16),1,""))</f>
        <v/>
      </c>
      <c r="P40" s="28">
        <f>IF(OR($C40="",$F40="",$G40=""),"",IF(AND($F40&lt;=Paramètres!$C$17+6,$G40&gt;=Paramètres!$C$17),1,""))</f>
        <v/>
      </c>
      <c r="Q40" s="28">
        <f>IF(OR($C40="",$F40="",$G40=""),"",IF(AND($F40&lt;=Paramètres!$C$18+6,$G40&gt;=Paramètres!$C$18),1,""))</f>
        <v/>
      </c>
      <c r="R40" s="28">
        <f>IF(OR($C40="",$F40="",$G40=""),"",IF(AND($F40&lt;=Paramètres!$C$19+6,$G40&gt;=Paramètres!$C$19),1,""))</f>
        <v/>
      </c>
      <c r="S40" s="28">
        <f>IF(OR($C40="",$F40="",$G40=""),"",IF(AND($F40&lt;=Paramètres!$C$20+6,$G40&gt;=Paramètres!$C$20),1,""))</f>
        <v/>
      </c>
      <c r="T40" s="28">
        <f>IF(OR($C40="",$F40="",$G40=""),"",IF(AND($F40&lt;=Paramètres!$C$21+6,$G40&gt;=Paramètres!$C$21),1,""))</f>
        <v/>
      </c>
      <c r="U40" s="28">
        <f>IF(OR($C40="",$F40="",$G40=""),"",IF(AND($F40&lt;=Paramètres!$C$22+6,$G40&gt;=Paramètres!$C$22),1,""))</f>
        <v/>
      </c>
      <c r="V40" s="28">
        <f>IF(OR($C40="",$F40="",$G40=""),"",IF(AND($F40&lt;=Paramètres!$C$23+6,$G40&gt;=Paramètres!$C$23),1,""))</f>
        <v/>
      </c>
      <c r="W40" s="28">
        <f>IF(OR($C40="",$F40="",$G40=""),"",IF(AND($F40&lt;=Paramètres!$C$24+6,$G40&gt;=Paramètres!$C$24),1,""))</f>
        <v/>
      </c>
      <c r="X40" s="28">
        <f>IF(OR($C40="",$F40="",$G40=""),"",IF(AND($F40&lt;=Paramètres!$C$25+6,$G40&gt;=Paramètres!$C$25),1,""))</f>
        <v/>
      </c>
      <c r="Y40" s="28">
        <f>IF(OR($C40="",$F40="",$G40=""),"",IF(AND($F40&lt;=Paramètres!$C$26+6,$G40&gt;=Paramètres!$C$26),1,""))</f>
        <v/>
      </c>
      <c r="Z40" s="28">
        <f>IF(OR($C40="",$F40="",$G40=""),"",IF(AND($F40&lt;=Paramètres!$C$27+6,$G40&gt;=Paramètres!$C$27),1,""))</f>
        <v/>
      </c>
    </row>
    <row r="41" ht="22" customHeight="1">
      <c r="B41" s="24" t="n"/>
      <c r="C41" s="25" t="n"/>
      <c r="D41" s="24" t="n"/>
      <c r="E41" s="24" t="n"/>
      <c r="F41" s="26" t="n"/>
      <c r="G41" s="26" t="n"/>
      <c r="H41" s="27" t="n"/>
      <c r="I41" s="15">
        <f>IF(C41="","",IF(H41&gt;=1,"Terminé",IF(AND(G41&lt;&gt;"",G41&lt;TODAY(),H41&lt;1),"En retard",IF(H41&gt;0,"En cours","À faire"))))</f>
        <v/>
      </c>
      <c r="J41" s="15">
        <f>IF(OR(C41="",G41=""),"",G41-TODAY())</f>
        <v/>
      </c>
      <c r="K41" s="28">
        <f>IF(OR($C41="",$F41="",$G41=""),"",IF(AND($F41&lt;=Paramètres!$C$12+6,$G41&gt;=Paramètres!$C$12),1,""))</f>
        <v/>
      </c>
      <c r="L41" s="28">
        <f>IF(OR($C41="",$F41="",$G41=""),"",IF(AND($F41&lt;=Paramètres!$C$13+6,$G41&gt;=Paramètres!$C$13),1,""))</f>
        <v/>
      </c>
      <c r="M41" s="28">
        <f>IF(OR($C41="",$F41="",$G41=""),"",IF(AND($F41&lt;=Paramètres!$C$14+6,$G41&gt;=Paramètres!$C$14),1,""))</f>
        <v/>
      </c>
      <c r="N41" s="28">
        <f>IF(OR($C41="",$F41="",$G41=""),"",IF(AND($F41&lt;=Paramètres!$C$15+6,$G41&gt;=Paramètres!$C$15),1,""))</f>
        <v/>
      </c>
      <c r="O41" s="28">
        <f>IF(OR($C41="",$F41="",$G41=""),"",IF(AND($F41&lt;=Paramètres!$C$16+6,$G41&gt;=Paramètres!$C$16),1,""))</f>
        <v/>
      </c>
      <c r="P41" s="28">
        <f>IF(OR($C41="",$F41="",$G41=""),"",IF(AND($F41&lt;=Paramètres!$C$17+6,$G41&gt;=Paramètres!$C$17),1,""))</f>
        <v/>
      </c>
      <c r="Q41" s="28">
        <f>IF(OR($C41="",$F41="",$G41=""),"",IF(AND($F41&lt;=Paramètres!$C$18+6,$G41&gt;=Paramètres!$C$18),1,""))</f>
        <v/>
      </c>
      <c r="R41" s="28">
        <f>IF(OR($C41="",$F41="",$G41=""),"",IF(AND($F41&lt;=Paramètres!$C$19+6,$G41&gt;=Paramètres!$C$19),1,""))</f>
        <v/>
      </c>
      <c r="S41" s="28">
        <f>IF(OR($C41="",$F41="",$G41=""),"",IF(AND($F41&lt;=Paramètres!$C$20+6,$G41&gt;=Paramètres!$C$20),1,""))</f>
        <v/>
      </c>
      <c r="T41" s="28">
        <f>IF(OR($C41="",$F41="",$G41=""),"",IF(AND($F41&lt;=Paramètres!$C$21+6,$G41&gt;=Paramètres!$C$21),1,""))</f>
        <v/>
      </c>
      <c r="U41" s="28">
        <f>IF(OR($C41="",$F41="",$G41=""),"",IF(AND($F41&lt;=Paramètres!$C$22+6,$G41&gt;=Paramètres!$C$22),1,""))</f>
        <v/>
      </c>
      <c r="V41" s="28">
        <f>IF(OR($C41="",$F41="",$G41=""),"",IF(AND($F41&lt;=Paramètres!$C$23+6,$G41&gt;=Paramètres!$C$23),1,""))</f>
        <v/>
      </c>
      <c r="W41" s="28">
        <f>IF(OR($C41="",$F41="",$G41=""),"",IF(AND($F41&lt;=Paramètres!$C$24+6,$G41&gt;=Paramètres!$C$24),1,""))</f>
        <v/>
      </c>
      <c r="X41" s="28">
        <f>IF(OR($C41="",$F41="",$G41=""),"",IF(AND($F41&lt;=Paramètres!$C$25+6,$G41&gt;=Paramètres!$C$25),1,""))</f>
        <v/>
      </c>
      <c r="Y41" s="28">
        <f>IF(OR($C41="",$F41="",$G41=""),"",IF(AND($F41&lt;=Paramètres!$C$26+6,$G41&gt;=Paramètres!$C$26),1,""))</f>
        <v/>
      </c>
      <c r="Z41" s="28">
        <f>IF(OR($C41="",$F41="",$G41=""),"",IF(AND($F41&lt;=Paramètres!$C$27+6,$G41&gt;=Paramètres!$C$27),1,""))</f>
        <v/>
      </c>
    </row>
    <row r="42" ht="22" customHeight="1">
      <c r="B42" s="24" t="n"/>
      <c r="C42" s="25" t="n"/>
      <c r="D42" s="24" t="n"/>
      <c r="E42" s="24" t="n"/>
      <c r="F42" s="26" t="n"/>
      <c r="G42" s="26" t="n"/>
      <c r="H42" s="27" t="n"/>
      <c r="I42" s="15">
        <f>IF(C42="","",IF(H42&gt;=1,"Terminé",IF(AND(G42&lt;&gt;"",G42&lt;TODAY(),H42&lt;1),"En retard",IF(H42&gt;0,"En cours","À faire"))))</f>
        <v/>
      </c>
      <c r="J42" s="15">
        <f>IF(OR(C42="",G42=""),"",G42-TODAY())</f>
        <v/>
      </c>
      <c r="K42" s="28">
        <f>IF(OR($C42="",$F42="",$G42=""),"",IF(AND($F42&lt;=Paramètres!$C$12+6,$G42&gt;=Paramètres!$C$12),1,""))</f>
        <v/>
      </c>
      <c r="L42" s="28">
        <f>IF(OR($C42="",$F42="",$G42=""),"",IF(AND($F42&lt;=Paramètres!$C$13+6,$G42&gt;=Paramètres!$C$13),1,""))</f>
        <v/>
      </c>
      <c r="M42" s="28">
        <f>IF(OR($C42="",$F42="",$G42=""),"",IF(AND($F42&lt;=Paramètres!$C$14+6,$G42&gt;=Paramètres!$C$14),1,""))</f>
        <v/>
      </c>
      <c r="N42" s="28">
        <f>IF(OR($C42="",$F42="",$G42=""),"",IF(AND($F42&lt;=Paramètres!$C$15+6,$G42&gt;=Paramètres!$C$15),1,""))</f>
        <v/>
      </c>
      <c r="O42" s="28">
        <f>IF(OR($C42="",$F42="",$G42=""),"",IF(AND($F42&lt;=Paramètres!$C$16+6,$G42&gt;=Paramètres!$C$16),1,""))</f>
        <v/>
      </c>
      <c r="P42" s="28">
        <f>IF(OR($C42="",$F42="",$G42=""),"",IF(AND($F42&lt;=Paramètres!$C$17+6,$G42&gt;=Paramètres!$C$17),1,""))</f>
        <v/>
      </c>
      <c r="Q42" s="28">
        <f>IF(OR($C42="",$F42="",$G42=""),"",IF(AND($F42&lt;=Paramètres!$C$18+6,$G42&gt;=Paramètres!$C$18),1,""))</f>
        <v/>
      </c>
      <c r="R42" s="28">
        <f>IF(OR($C42="",$F42="",$G42=""),"",IF(AND($F42&lt;=Paramètres!$C$19+6,$G42&gt;=Paramètres!$C$19),1,""))</f>
        <v/>
      </c>
      <c r="S42" s="28">
        <f>IF(OR($C42="",$F42="",$G42=""),"",IF(AND($F42&lt;=Paramètres!$C$20+6,$G42&gt;=Paramètres!$C$20),1,""))</f>
        <v/>
      </c>
      <c r="T42" s="28">
        <f>IF(OR($C42="",$F42="",$G42=""),"",IF(AND($F42&lt;=Paramètres!$C$21+6,$G42&gt;=Paramètres!$C$21),1,""))</f>
        <v/>
      </c>
      <c r="U42" s="28">
        <f>IF(OR($C42="",$F42="",$G42=""),"",IF(AND($F42&lt;=Paramètres!$C$22+6,$G42&gt;=Paramètres!$C$22),1,""))</f>
        <v/>
      </c>
      <c r="V42" s="28">
        <f>IF(OR($C42="",$F42="",$G42=""),"",IF(AND($F42&lt;=Paramètres!$C$23+6,$G42&gt;=Paramètres!$C$23),1,""))</f>
        <v/>
      </c>
      <c r="W42" s="28">
        <f>IF(OR($C42="",$F42="",$G42=""),"",IF(AND($F42&lt;=Paramètres!$C$24+6,$G42&gt;=Paramètres!$C$24),1,""))</f>
        <v/>
      </c>
      <c r="X42" s="28">
        <f>IF(OR($C42="",$F42="",$G42=""),"",IF(AND($F42&lt;=Paramètres!$C$25+6,$G42&gt;=Paramètres!$C$25),1,""))</f>
        <v/>
      </c>
      <c r="Y42" s="28">
        <f>IF(OR($C42="",$F42="",$G42=""),"",IF(AND($F42&lt;=Paramètres!$C$26+6,$G42&gt;=Paramètres!$C$26),1,""))</f>
        <v/>
      </c>
      <c r="Z42" s="28">
        <f>IF(OR($C42="",$F42="",$G42=""),"",IF(AND($F42&lt;=Paramètres!$C$27+6,$G42&gt;=Paramètres!$C$27),1,""))</f>
        <v/>
      </c>
    </row>
    <row r="43" ht="22" customHeight="1">
      <c r="B43" s="24" t="n"/>
      <c r="C43" s="25" t="n"/>
      <c r="D43" s="24" t="n"/>
      <c r="E43" s="24" t="n"/>
      <c r="F43" s="26" t="n"/>
      <c r="G43" s="26" t="n"/>
      <c r="H43" s="27" t="n"/>
      <c r="I43" s="15">
        <f>IF(C43="","",IF(H43&gt;=1,"Terminé",IF(AND(G43&lt;&gt;"",G43&lt;TODAY(),H43&lt;1),"En retard",IF(H43&gt;0,"En cours","À faire"))))</f>
        <v/>
      </c>
      <c r="J43" s="15">
        <f>IF(OR(C43="",G43=""),"",G43-TODAY())</f>
        <v/>
      </c>
      <c r="K43" s="28">
        <f>IF(OR($C43="",$F43="",$G43=""),"",IF(AND($F43&lt;=Paramètres!$C$12+6,$G43&gt;=Paramètres!$C$12),1,""))</f>
        <v/>
      </c>
      <c r="L43" s="28">
        <f>IF(OR($C43="",$F43="",$G43=""),"",IF(AND($F43&lt;=Paramètres!$C$13+6,$G43&gt;=Paramètres!$C$13),1,""))</f>
        <v/>
      </c>
      <c r="M43" s="28">
        <f>IF(OR($C43="",$F43="",$G43=""),"",IF(AND($F43&lt;=Paramètres!$C$14+6,$G43&gt;=Paramètres!$C$14),1,""))</f>
        <v/>
      </c>
      <c r="N43" s="28">
        <f>IF(OR($C43="",$F43="",$G43=""),"",IF(AND($F43&lt;=Paramètres!$C$15+6,$G43&gt;=Paramètres!$C$15),1,""))</f>
        <v/>
      </c>
      <c r="O43" s="28">
        <f>IF(OR($C43="",$F43="",$G43=""),"",IF(AND($F43&lt;=Paramètres!$C$16+6,$G43&gt;=Paramètres!$C$16),1,""))</f>
        <v/>
      </c>
      <c r="P43" s="28">
        <f>IF(OR($C43="",$F43="",$G43=""),"",IF(AND($F43&lt;=Paramètres!$C$17+6,$G43&gt;=Paramètres!$C$17),1,""))</f>
        <v/>
      </c>
      <c r="Q43" s="28">
        <f>IF(OR($C43="",$F43="",$G43=""),"",IF(AND($F43&lt;=Paramètres!$C$18+6,$G43&gt;=Paramètres!$C$18),1,""))</f>
        <v/>
      </c>
      <c r="R43" s="28">
        <f>IF(OR($C43="",$F43="",$G43=""),"",IF(AND($F43&lt;=Paramètres!$C$19+6,$G43&gt;=Paramètres!$C$19),1,""))</f>
        <v/>
      </c>
      <c r="S43" s="28">
        <f>IF(OR($C43="",$F43="",$G43=""),"",IF(AND($F43&lt;=Paramètres!$C$20+6,$G43&gt;=Paramètres!$C$20),1,""))</f>
        <v/>
      </c>
      <c r="T43" s="28">
        <f>IF(OR($C43="",$F43="",$G43=""),"",IF(AND($F43&lt;=Paramètres!$C$21+6,$G43&gt;=Paramètres!$C$21),1,""))</f>
        <v/>
      </c>
      <c r="U43" s="28">
        <f>IF(OR($C43="",$F43="",$G43=""),"",IF(AND($F43&lt;=Paramètres!$C$22+6,$G43&gt;=Paramètres!$C$22),1,""))</f>
        <v/>
      </c>
      <c r="V43" s="28">
        <f>IF(OR($C43="",$F43="",$G43=""),"",IF(AND($F43&lt;=Paramètres!$C$23+6,$G43&gt;=Paramètres!$C$23),1,""))</f>
        <v/>
      </c>
      <c r="W43" s="28">
        <f>IF(OR($C43="",$F43="",$G43=""),"",IF(AND($F43&lt;=Paramètres!$C$24+6,$G43&gt;=Paramètres!$C$24),1,""))</f>
        <v/>
      </c>
      <c r="X43" s="28">
        <f>IF(OR($C43="",$F43="",$G43=""),"",IF(AND($F43&lt;=Paramètres!$C$25+6,$G43&gt;=Paramètres!$C$25),1,""))</f>
        <v/>
      </c>
      <c r="Y43" s="28">
        <f>IF(OR($C43="",$F43="",$G43=""),"",IF(AND($F43&lt;=Paramètres!$C$26+6,$G43&gt;=Paramètres!$C$26),1,""))</f>
        <v/>
      </c>
      <c r="Z43" s="28">
        <f>IF(OR($C43="",$F43="",$G43=""),"",IF(AND($F43&lt;=Paramètres!$C$27+6,$G43&gt;=Paramètres!$C$27),1,""))</f>
        <v/>
      </c>
    </row>
    <row r="44" ht="22" customHeight="1">
      <c r="B44" s="24" t="n"/>
      <c r="C44" s="25" t="n"/>
      <c r="D44" s="24" t="n"/>
      <c r="E44" s="24" t="n"/>
      <c r="F44" s="26" t="n"/>
      <c r="G44" s="26" t="n"/>
      <c r="H44" s="27" t="n"/>
      <c r="I44" s="15">
        <f>IF(C44="","",IF(H44&gt;=1,"Terminé",IF(AND(G44&lt;&gt;"",G44&lt;TODAY(),H44&lt;1),"En retard",IF(H44&gt;0,"En cours","À faire"))))</f>
        <v/>
      </c>
      <c r="J44" s="15">
        <f>IF(OR(C44="",G44=""),"",G44-TODAY())</f>
        <v/>
      </c>
      <c r="K44" s="28">
        <f>IF(OR($C44="",$F44="",$G44=""),"",IF(AND($F44&lt;=Paramètres!$C$12+6,$G44&gt;=Paramètres!$C$12),1,""))</f>
        <v/>
      </c>
      <c r="L44" s="28">
        <f>IF(OR($C44="",$F44="",$G44=""),"",IF(AND($F44&lt;=Paramètres!$C$13+6,$G44&gt;=Paramètres!$C$13),1,""))</f>
        <v/>
      </c>
      <c r="M44" s="28">
        <f>IF(OR($C44="",$F44="",$G44=""),"",IF(AND($F44&lt;=Paramètres!$C$14+6,$G44&gt;=Paramètres!$C$14),1,""))</f>
        <v/>
      </c>
      <c r="N44" s="28">
        <f>IF(OR($C44="",$F44="",$G44=""),"",IF(AND($F44&lt;=Paramètres!$C$15+6,$G44&gt;=Paramètres!$C$15),1,""))</f>
        <v/>
      </c>
      <c r="O44" s="28">
        <f>IF(OR($C44="",$F44="",$G44=""),"",IF(AND($F44&lt;=Paramètres!$C$16+6,$G44&gt;=Paramètres!$C$16),1,""))</f>
        <v/>
      </c>
      <c r="P44" s="28">
        <f>IF(OR($C44="",$F44="",$G44=""),"",IF(AND($F44&lt;=Paramètres!$C$17+6,$G44&gt;=Paramètres!$C$17),1,""))</f>
        <v/>
      </c>
      <c r="Q44" s="28">
        <f>IF(OR($C44="",$F44="",$G44=""),"",IF(AND($F44&lt;=Paramètres!$C$18+6,$G44&gt;=Paramètres!$C$18),1,""))</f>
        <v/>
      </c>
      <c r="R44" s="28">
        <f>IF(OR($C44="",$F44="",$G44=""),"",IF(AND($F44&lt;=Paramètres!$C$19+6,$G44&gt;=Paramètres!$C$19),1,""))</f>
        <v/>
      </c>
      <c r="S44" s="28">
        <f>IF(OR($C44="",$F44="",$G44=""),"",IF(AND($F44&lt;=Paramètres!$C$20+6,$G44&gt;=Paramètres!$C$20),1,""))</f>
        <v/>
      </c>
      <c r="T44" s="28">
        <f>IF(OR($C44="",$F44="",$G44=""),"",IF(AND($F44&lt;=Paramètres!$C$21+6,$G44&gt;=Paramètres!$C$21),1,""))</f>
        <v/>
      </c>
      <c r="U44" s="28">
        <f>IF(OR($C44="",$F44="",$G44=""),"",IF(AND($F44&lt;=Paramètres!$C$22+6,$G44&gt;=Paramètres!$C$22),1,""))</f>
        <v/>
      </c>
      <c r="V44" s="28">
        <f>IF(OR($C44="",$F44="",$G44=""),"",IF(AND($F44&lt;=Paramètres!$C$23+6,$G44&gt;=Paramètres!$C$23),1,""))</f>
        <v/>
      </c>
      <c r="W44" s="28">
        <f>IF(OR($C44="",$F44="",$G44=""),"",IF(AND($F44&lt;=Paramètres!$C$24+6,$G44&gt;=Paramètres!$C$24),1,""))</f>
        <v/>
      </c>
      <c r="X44" s="28">
        <f>IF(OR($C44="",$F44="",$G44=""),"",IF(AND($F44&lt;=Paramètres!$C$25+6,$G44&gt;=Paramètres!$C$25),1,""))</f>
        <v/>
      </c>
      <c r="Y44" s="28">
        <f>IF(OR($C44="",$F44="",$G44=""),"",IF(AND($F44&lt;=Paramètres!$C$26+6,$G44&gt;=Paramètres!$C$26),1,""))</f>
        <v/>
      </c>
      <c r="Z44" s="28">
        <f>IF(OR($C44="",$F44="",$G44=""),"",IF(AND($F44&lt;=Paramètres!$C$27+6,$G44&gt;=Paramètres!$C$27),1,""))</f>
        <v/>
      </c>
    </row>
    <row r="46">
      <c r="B46" s="29" t="inlineStr">
        <is>
          <t>Légende Gantt</t>
        </is>
      </c>
      <c r="C46" s="30" t="inlineStr">
        <is>
          <t>Planifié</t>
        </is>
      </c>
      <c r="D46" s="31" t="inlineStr">
        <is>
          <t>En cours</t>
        </is>
      </c>
      <c r="E46" s="32" t="inlineStr">
        <is>
          <t>Terminé</t>
        </is>
      </c>
      <c r="F46" s="33" t="inlineStr">
        <is>
          <t>En retard</t>
        </is>
      </c>
      <c r="G46" s="34" t="inlineStr">
        <is>
          <t>Reporté</t>
        </is>
      </c>
    </row>
    <row r="48">
      <c r="B48" s="35" t="inlineStr">
        <is>
          <t>Astuce : mets à jour la colonne « Avancement » (ex. 25 %, 50 %, 100 %). Le statut et les couleurs du Gantt se mettent à jour tout seuls.</t>
        </is>
      </c>
      <c r="I48" s="36" t="inlineStr">
        <is>
          <t>Examen →</t>
        </is>
      </c>
      <c r="J48" s="37">
        <f>Paramètres!C6</f>
        <v/>
      </c>
    </row>
  </sheetData>
  <mergeCells count="3">
    <mergeCell ref="B48:H48"/>
    <mergeCell ref="B3:J3"/>
    <mergeCell ref="B2:J2"/>
  </mergeCells>
  <conditionalFormatting sqref="K5:Z44">
    <cfRule type="expression" priority="1" dxfId="0">
      <formula>AND(K5=1,$H5&gt;=1)</formula>
    </cfRule>
    <cfRule type="expression" priority="2" dxfId="1">
      <formula>AND(K5=1,$I5="En retard")</formula>
    </cfRule>
    <cfRule type="expression" priority="3" dxfId="2">
      <formula>AND(K5=1,$I5="En cours")</formula>
    </cfRule>
    <cfRule type="expression" priority="4" dxfId="3">
      <formula>AND(K5=1,$I5="À faire")</formula>
    </cfRule>
    <cfRule type="expression" priority="5" dxfId="4">
      <formula>AND(K5=1,$I5="Reporté")</formula>
    </cfRule>
  </conditionalFormatting>
  <conditionalFormatting sqref="I5:I44">
    <cfRule type="cellIs" priority="6" operator="equal" dxfId="5">
      <formula>"Terminé"</formula>
    </cfRule>
    <cfRule type="cellIs" priority="7" operator="equal" dxfId="6">
      <formula>"En cours"</formula>
    </cfRule>
    <cfRule type="cellIs" priority="8" operator="equal" dxfId="7">
      <formula>"En retard"</formula>
    </cfRule>
    <cfRule type="cellIs" priority="9" operator="equal" dxfId="8">
      <formula>"À faire"</formula>
    </cfRule>
    <cfRule type="cellIs" priority="10" operator="equal" dxfId="9">
      <formula>"Reporté"</formula>
    </cfRule>
  </conditionalFormatting>
  <conditionalFormatting sqref="E5:E44">
    <cfRule type="cellIs" priority="11" operator="equal" dxfId="7">
      <formula>"Haute"</formula>
    </cfRule>
    <cfRule type="cellIs" priority="12" operator="equal" dxfId="6">
      <formula>"Moyenne"</formula>
    </cfRule>
    <cfRule type="cellIs" priority="13" operator="equal" dxfId="5">
      <formula>"Basse"</formula>
    </cfRule>
  </conditionalFormatting>
  <dataValidations count="4">
    <dataValidation sqref="I5 I6 I7 I8 I9 I10 I11 I12 I13 I14 I15 I16 I17 I18 I19 I20 I21 I22 I23 I24 I25 I26 I27 I28 I29 I30 I31 I32 I33 I34 I35 I36 I37 I38 I39 I40 I41 I42 I43 I44" showDropDown="0" showInputMessage="0" showErrorMessage="0" allowBlank="1" type="list">
      <formula1>"À faire,En cours,Terminé,En retard,Reporté"</formula1>
    </dataValidation>
    <dataValidation sqref="E5 E6 E7 E8 E9 E10 E11 E12 E13 E14 E15 E16 E17 E18 E19 E20 E21 E22 E23 E24 E25 E26 E27 E28 E29 E30 E31 E32 E33 E34 E35 E36 E37 E38 E39 E40 E41 E42 E43 E44" showDropDown="0" showInputMessage="0" showErrorMessage="0" allowBlank="1" type="list">
      <formula1>"Haute,Moyenne,Basse"</formula1>
    </dataValidation>
    <dataValidation sqref="D5 D6 D7 D8 D9 D10 D11 D12 D13 D14 D15 D16 D17 D18 D19 D20 D21 D22 D23 D24 D25 D26 D27 D28 D29 D30 D31 D32 D33 D34 D35 D36 D37 D38 D39 D40 D41 D42 D43 D44" showDropDown="0" showInputMessage="0" showErrorMessage="0" allowBlank="1" type="list">
      <formula1>"Cours,Exercices,Annales,Fiches,Révision globale"</formula1>
    </dataValidation>
    <dataValidation sqref="B5 B6 B7 B8 B9 B10 B11 B12 B13 B14 B15 B16 B17 B18 B19 B20 B21 B22 B23 B24 B25 B26 B27 B28 B29 B30 B31 B32 B33 B34 B35 B36 B37 B38 B39 B40 B41 B42 B43 B44" showDropDown="0" showInputMessage="0" showErrorMessage="0" allowBlank="1" type="list">
      <formula1>"UE1,UE2,UE3,UE4,UE5,UE6,UE7,TRANSVERSE"</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B2:I29"/>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8" customWidth="1" min="8" max="8"/>
  </cols>
  <sheetData>
    <row r="2">
      <c r="B2" s="7" t="inlineStr">
        <is>
          <t>Tableau de bord — progression DSCG 1</t>
        </is>
      </c>
    </row>
    <row r="3">
      <c r="B3" s="38">
        <f>CONCATENATE("Période : ",TEXT(Paramètres!C5,"DD/MM/YYYY")," → ",TEXT(Paramètres!C6,"DD/MM/YYYY"))</f>
        <v/>
      </c>
    </row>
    <row r="5">
      <c r="B5" s="39" t="inlineStr">
        <is>
          <t>Thèmes planifiés</t>
        </is>
      </c>
      <c r="C5" s="40">
        <f>COUNTA('Planning Gantt'!C5:C44)</f>
        <v/>
      </c>
      <c r="H5" s="14" t="inlineStr">
        <is>
          <t>Statut</t>
        </is>
      </c>
      <c r="I5" s="14" t="inlineStr">
        <is>
          <t>Nombre</t>
        </is>
      </c>
    </row>
    <row r="6">
      <c r="B6" s="39" t="inlineStr">
        <is>
          <t>Terminés</t>
        </is>
      </c>
      <c r="C6" s="40">
        <f>COUNTIF('Planning Gantt'!I5:I44,"Terminé")</f>
        <v/>
      </c>
      <c r="H6" s="41" t="inlineStr">
        <is>
          <t>À faire</t>
        </is>
      </c>
      <c r="I6" s="15">
        <f>COUNTIF('Planning Gantt'!I:I,H6)</f>
        <v/>
      </c>
    </row>
    <row r="7">
      <c r="B7" s="39" t="inlineStr">
        <is>
          <t>En cours</t>
        </is>
      </c>
      <c r="C7" s="40">
        <f>COUNTIF('Planning Gantt'!I5:I44,"En cours")</f>
        <v/>
      </c>
      <c r="H7" s="41" t="inlineStr">
        <is>
          <t>En cours</t>
        </is>
      </c>
      <c r="I7" s="15">
        <f>COUNTIF('Planning Gantt'!I:I,H7)</f>
        <v/>
      </c>
    </row>
    <row r="8">
      <c r="B8" s="39" t="inlineStr">
        <is>
          <t>En retard</t>
        </is>
      </c>
      <c r="C8" s="40">
        <f>COUNTIF('Planning Gantt'!I5:I44,"En retard")</f>
        <v/>
      </c>
      <c r="H8" s="41" t="inlineStr">
        <is>
          <t>Terminé</t>
        </is>
      </c>
      <c r="I8" s="15">
        <f>COUNTIF('Planning Gantt'!I:I,H8)</f>
        <v/>
      </c>
    </row>
    <row r="9">
      <c r="B9" s="39" t="inlineStr">
        <is>
          <t>Avancement moyen</t>
        </is>
      </c>
      <c r="C9" s="42">
        <f>IFERROR(AVERAGEIF('Planning Gantt'!C5:C44,"&lt;&gt;",'Planning Gantt'!H5:H44),0)</f>
        <v/>
      </c>
      <c r="H9" s="41" t="inlineStr">
        <is>
          <t>En retard</t>
        </is>
      </c>
      <c r="I9" s="15">
        <f>COUNTIF('Planning Gantt'!I:I,H9)</f>
        <v/>
      </c>
    </row>
    <row r="10">
      <c r="H10" s="41" t="inlineStr">
        <is>
          <t>Reporté</t>
        </is>
      </c>
      <c r="I10" s="15">
        <f>COUNTIF('Planning Gantt'!I:I,H10)</f>
        <v/>
      </c>
    </row>
    <row r="11">
      <c r="B11" s="13" t="inlineStr">
        <is>
          <t>Progression par UE</t>
        </is>
      </c>
    </row>
    <row r="12">
      <c r="B12" s="14" t="inlineStr">
        <is>
          <t>UE</t>
        </is>
      </c>
      <c r="C12" s="14" t="inlineStr">
        <is>
          <t>Nb thèmes</t>
        </is>
      </c>
      <c r="D12" s="14" t="inlineStr">
        <is>
          <t>Terminés</t>
        </is>
      </c>
      <c r="E12" s="14" t="inlineStr">
        <is>
          <t>En retard</t>
        </is>
      </c>
      <c r="F12" s="14" t="inlineStr">
        <is>
          <t>Avancement moyen</t>
        </is>
      </c>
    </row>
    <row r="13">
      <c r="B13" s="41" t="inlineStr">
        <is>
          <t>UE1</t>
        </is>
      </c>
      <c r="C13" s="15">
        <f>COUNTIF('Planning Gantt'!B:B,B13)</f>
        <v/>
      </c>
      <c r="D13" s="15">
        <f>COUNTIFS('Planning Gantt'!B:B,B13,'Planning Gantt'!I:I,"Terminé")</f>
        <v/>
      </c>
      <c r="E13" s="15">
        <f>COUNTIFS('Planning Gantt'!B:B,B13,'Planning Gantt'!I:I,"En retard")</f>
        <v/>
      </c>
      <c r="F13" s="43">
        <f>IFERROR(AVERAGEIF('Planning Gantt'!B:B,B13,'Planning Gantt'!H:H),0)</f>
        <v/>
      </c>
    </row>
    <row r="14">
      <c r="B14" s="44" t="inlineStr">
        <is>
          <t>UE2</t>
        </is>
      </c>
      <c r="C14" s="17">
        <f>COUNTIF('Planning Gantt'!B:B,B14)</f>
        <v/>
      </c>
      <c r="D14" s="17">
        <f>COUNTIFS('Planning Gantt'!B:B,B14,'Planning Gantt'!I:I,"Terminé")</f>
        <v/>
      </c>
      <c r="E14" s="17">
        <f>COUNTIFS('Planning Gantt'!B:B,B14,'Planning Gantt'!I:I,"En retard")</f>
        <v/>
      </c>
      <c r="F14" s="45">
        <f>IFERROR(AVERAGEIF('Planning Gantt'!B:B,B14,'Planning Gantt'!H:H),0)</f>
        <v/>
      </c>
    </row>
    <row r="15">
      <c r="B15" s="41" t="inlineStr">
        <is>
          <t>UE3</t>
        </is>
      </c>
      <c r="C15" s="15">
        <f>COUNTIF('Planning Gantt'!B:B,B15)</f>
        <v/>
      </c>
      <c r="D15" s="15">
        <f>COUNTIFS('Planning Gantt'!B:B,B15,'Planning Gantt'!I:I,"Terminé")</f>
        <v/>
      </c>
      <c r="E15" s="15">
        <f>COUNTIFS('Planning Gantt'!B:B,B15,'Planning Gantt'!I:I,"En retard")</f>
        <v/>
      </c>
      <c r="F15" s="43">
        <f>IFERROR(AVERAGEIF('Planning Gantt'!B:B,B15,'Planning Gantt'!H:H),0)</f>
        <v/>
      </c>
    </row>
    <row r="16">
      <c r="B16" s="44" t="inlineStr">
        <is>
          <t>UE4</t>
        </is>
      </c>
      <c r="C16" s="17">
        <f>COUNTIF('Planning Gantt'!B:B,B16)</f>
        <v/>
      </c>
      <c r="D16" s="17">
        <f>COUNTIFS('Planning Gantt'!B:B,B16,'Planning Gantt'!I:I,"Terminé")</f>
        <v/>
      </c>
      <c r="E16" s="17">
        <f>COUNTIFS('Planning Gantt'!B:B,B16,'Planning Gantt'!I:I,"En retard")</f>
        <v/>
      </c>
      <c r="F16" s="45">
        <f>IFERROR(AVERAGEIF('Planning Gantt'!B:B,B16,'Planning Gantt'!H:H),0)</f>
        <v/>
      </c>
    </row>
    <row r="17">
      <c r="B17" s="41" t="inlineStr">
        <is>
          <t>UE5</t>
        </is>
      </c>
      <c r="C17" s="15">
        <f>COUNTIF('Planning Gantt'!B:B,B17)</f>
        <v/>
      </c>
      <c r="D17" s="15">
        <f>COUNTIFS('Planning Gantt'!B:B,B17,'Planning Gantt'!I:I,"Terminé")</f>
        <v/>
      </c>
      <c r="E17" s="15">
        <f>COUNTIFS('Planning Gantt'!B:B,B17,'Planning Gantt'!I:I,"En retard")</f>
        <v/>
      </c>
      <c r="F17" s="43">
        <f>IFERROR(AVERAGEIF('Planning Gantt'!B:B,B17,'Planning Gantt'!H:H),0)</f>
        <v/>
      </c>
    </row>
    <row r="18">
      <c r="B18" s="44" t="inlineStr">
        <is>
          <t>UE6</t>
        </is>
      </c>
      <c r="C18" s="17">
        <f>COUNTIF('Planning Gantt'!B:B,B18)</f>
        <v/>
      </c>
      <c r="D18" s="17">
        <f>COUNTIFS('Planning Gantt'!B:B,B18,'Planning Gantt'!I:I,"Terminé")</f>
        <v/>
      </c>
      <c r="E18" s="17">
        <f>COUNTIFS('Planning Gantt'!B:B,B18,'Planning Gantt'!I:I,"En retard")</f>
        <v/>
      </c>
      <c r="F18" s="45">
        <f>IFERROR(AVERAGEIF('Planning Gantt'!B:B,B18,'Planning Gantt'!H:H),0)</f>
        <v/>
      </c>
    </row>
    <row r="19">
      <c r="B19" s="41" t="inlineStr">
        <is>
          <t>UE7</t>
        </is>
      </c>
      <c r="C19" s="15">
        <f>COUNTIF('Planning Gantt'!B:B,B19)</f>
        <v/>
      </c>
      <c r="D19" s="15">
        <f>COUNTIFS('Planning Gantt'!B:B,B19,'Planning Gantt'!I:I,"Terminé")</f>
        <v/>
      </c>
      <c r="E19" s="15">
        <f>COUNTIFS('Planning Gantt'!B:B,B19,'Planning Gantt'!I:I,"En retard")</f>
        <v/>
      </c>
      <c r="F19" s="43">
        <f>IFERROR(AVERAGEIF('Planning Gantt'!B:B,B19,'Planning Gantt'!H:H),0)</f>
        <v/>
      </c>
    </row>
    <row r="20">
      <c r="B20" s="44" t="inlineStr">
        <is>
          <t>TRANSVERSE</t>
        </is>
      </c>
      <c r="C20" s="17">
        <f>COUNTIF('Planning Gantt'!B:B,B20)</f>
        <v/>
      </c>
      <c r="D20" s="17">
        <f>COUNTIFS('Planning Gantt'!B:B,B20,'Planning Gantt'!I:I,"Terminé")</f>
        <v/>
      </c>
      <c r="E20" s="17">
        <f>COUNTIFS('Planning Gantt'!B:B,B20,'Planning Gantt'!I:I,"En retard")</f>
        <v/>
      </c>
      <c r="F20" s="45">
        <f>IFERROR(AVERAGEIF('Planning Gantt'!B:B,B20,'Planning Gantt'!H:H),0)</f>
        <v/>
      </c>
    </row>
    <row r="23">
      <c r="B23" s="46" t="inlineStr">
        <is>
          <t>Alertes — thèmes en retard ou à traiter cette semaine</t>
        </is>
      </c>
    </row>
    <row r="24">
      <c r="B24" s="47" t="inlineStr">
        <is>
          <t>Filtre l'onglet Planning Gantt sur Statut = « En retard » ou Priorité = « Haute ». Objectif : zéro retard 14 jours avant l'examen.</t>
        </is>
      </c>
    </row>
    <row r="26">
      <c r="B26" s="13" t="inlineStr">
        <is>
          <t>Rappel charge</t>
        </is>
      </c>
    </row>
    <row r="27">
      <c r="B27" s="41" t="inlineStr">
        <is>
          <t>Heures / semaine (paramètre)</t>
        </is>
      </c>
      <c r="C27" s="48">
        <f>Paramètres!C7</f>
        <v/>
      </c>
    </row>
    <row r="28">
      <c r="B28" s="41" t="inlineStr">
        <is>
          <t>Jours restants avant examen</t>
        </is>
      </c>
      <c r="C28" s="48">
        <f>Paramètres!C6-TODAY()</f>
        <v/>
      </c>
    </row>
    <row r="29">
      <c r="B29" s="41" t="inlineStr">
        <is>
          <t>Heures totales restantes (approx.)</t>
        </is>
      </c>
      <c r="C29" s="48">
        <f>MAX(0,C28/7)*Paramètres!C7</f>
        <v/>
      </c>
    </row>
  </sheetData>
  <mergeCells count="1">
    <mergeCell ref="B24:F24"/>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D20"/>
  <sheetViews>
    <sheetView showGridLines="0" workbookViewId="0">
      <selection activeCell="A1" sqref="A1"/>
    </sheetView>
  </sheetViews>
  <sheetFormatPr baseColWidth="8" defaultRowHeight="15"/>
  <cols>
    <col width="3" customWidth="1" min="1" max="1"/>
    <col width="14" customWidth="1" min="2" max="2"/>
    <col width="55" customWidth="1" min="3" max="3"/>
    <col width="50" customWidth="1" min="4" max="4"/>
  </cols>
  <sheetData>
    <row r="2">
      <c r="B2" s="7" t="inlineStr">
        <is>
          <t>Bibliothèque de thèmes par UE (DSCG)</t>
        </is>
      </c>
    </row>
    <row r="3">
      <c r="B3" s="22" t="inlineStr">
        <is>
          <t>Inspire-toi de cette liste pour compléter le Planning Gantt. Copie un thème → colle-le dans une ligne vide du Gantt.</t>
        </is>
      </c>
    </row>
    <row r="5">
      <c r="B5" s="14" t="inlineStr">
        <is>
          <t>UE</t>
        </is>
      </c>
      <c r="C5" s="14" t="inlineStr">
        <is>
          <t>Intitulé officiel / thème</t>
        </is>
      </c>
      <c r="D5" s="14" t="inlineStr">
        <is>
          <t>Idées de découpage</t>
        </is>
      </c>
    </row>
    <row r="6" ht="30" customHeight="1">
      <c r="B6" s="49" t="inlineStr">
        <is>
          <t>UE1</t>
        </is>
      </c>
      <c r="C6" s="41" t="inlineStr">
        <is>
          <t>Gestion juridique, fiscale et sociale</t>
        </is>
      </c>
      <c r="D6" s="41" t="inlineStr">
        <is>
          <t>Sociétés ; IS ; TVA ; contrôle fiscal ; droit social ; contentieux</t>
        </is>
      </c>
    </row>
    <row r="7" ht="30" customHeight="1">
      <c r="B7" s="50" t="inlineStr">
        <is>
          <t>UE2</t>
        </is>
      </c>
      <c r="C7" s="44" t="inlineStr">
        <is>
          <t>Finance</t>
        </is>
      </c>
      <c r="D7" s="44" t="inlineStr">
        <is>
          <t>Diagnostic ; évaluation ; investissement ; financement ; ingénierie ; trésorerie</t>
        </is>
      </c>
    </row>
    <row r="8" ht="30" customHeight="1">
      <c r="B8" s="49" t="inlineStr">
        <is>
          <t>UE3</t>
        </is>
      </c>
      <c r="C8" s="41" t="inlineStr">
        <is>
          <t>Management et contrôle de gestion</t>
        </is>
      </c>
      <c r="D8" s="41" t="inlineStr">
        <is>
          <t>Stratégie ; budgets ; coûts ; performance ; projet ; RH</t>
        </is>
      </c>
    </row>
    <row r="9" ht="30" customHeight="1">
      <c r="B9" s="50" t="inlineStr">
        <is>
          <t>UE4</t>
        </is>
      </c>
      <c r="C9" s="44" t="inlineStr">
        <is>
          <t>Comptabilité et audit</t>
        </is>
      </c>
      <c r="D9" s="44" t="inlineStr">
        <is>
          <t>Consolidation ; IFRS ; audit légal ; contrôle interne</t>
        </is>
      </c>
    </row>
    <row r="10" ht="30" customHeight="1">
      <c r="B10" s="49" t="inlineStr">
        <is>
          <t>UE5</t>
        </is>
      </c>
      <c r="C10" s="41" t="inlineStr">
        <is>
          <t>Management des systèmes d'information</t>
        </is>
      </c>
      <c r="D10" s="41" t="inlineStr">
        <is>
          <t>Gouvernance SI ; ERP ; sécurité ; data ; projets SI</t>
        </is>
      </c>
    </row>
    <row r="11" ht="30" customHeight="1">
      <c r="B11" s="50" t="inlineStr">
        <is>
          <t>UE6</t>
        </is>
      </c>
      <c r="C11" s="44" t="inlineStr">
        <is>
          <t>Anglais des affaires</t>
        </is>
      </c>
      <c r="D11" s="44" t="inlineStr">
        <is>
          <t>Reading ; vocabulaire finance/audit ; rédaction ; oral</t>
        </is>
      </c>
    </row>
    <row r="12" ht="30" customHeight="1">
      <c r="B12" s="49" t="inlineStr">
        <is>
          <t>UE7</t>
        </is>
      </c>
      <c r="C12" s="41" t="inlineStr">
        <is>
          <t>Relations professionnelles (mémoire)</t>
        </is>
      </c>
      <c r="D12" s="41" t="inlineStr">
        <is>
          <t>Problématique ; revue de lit. ; entretiens ; rédaction ; soutenance</t>
        </is>
      </c>
    </row>
    <row r="15">
      <c r="B15" s="13" t="inlineStr">
        <is>
          <t>Méthode conseillée (cycle par thème)</t>
        </is>
      </c>
    </row>
    <row r="16">
      <c r="B16" s="6" t="inlineStr">
        <is>
          <t>1. Cours / manuel — comprendre (1ère passe)</t>
        </is>
      </c>
    </row>
    <row r="17">
      <c r="B17" s="6" t="inlineStr">
        <is>
          <t>2. Fiche recto-verso — synthétiser</t>
        </is>
      </c>
    </row>
    <row r="18">
      <c r="B18" s="6" t="inlineStr">
        <is>
          <t>3. Exercices ciblés — appliquer</t>
        </is>
      </c>
    </row>
    <row r="19">
      <c r="B19" s="6" t="inlineStr">
        <is>
          <t>4. Annale chronométrée — condition d'examen</t>
        </is>
      </c>
    </row>
    <row r="20">
      <c r="B20" s="6" t="inlineStr">
        <is>
          <t>5. Correction active — noter les erreurs récurrentes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2026-10-06T14:55:31Z</dcterms:created>
  <dcterms:modified xsi:type="dcterms:W3CDTF">2026-10-06T14:55:31Z</dcterms:modified>
</cp:coreProperties>
</file>